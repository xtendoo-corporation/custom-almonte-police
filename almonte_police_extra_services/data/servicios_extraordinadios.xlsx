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olicías" sheetId="1" state="visible" r:id="rId3"/>
    <sheet name="Cuadrante" sheetId="2" state="visible" r:id="rId4"/>
    <sheet name="Historico_Extras" sheetId="3" state="visible" r:id="rId5"/>
    <sheet name="Panel_Control" sheetId="4" state="visible" r:id="rId6"/>
    <sheet name="Asignacion_Inscritos" sheetId="5" state="visible" r:id="rId7"/>
    <sheet name="Resumen_Total_Extras" sheetId="6" state="visible" r:id="rId8"/>
  </sheets>
  <definedNames>
    <definedName function="false" hidden="true" localSheetId="1" name="_xlnm._FilterDatabase" vbProcedure="false">Cuadrante!$A$4:$BM$63</definedName>
    <definedName function="false" hidden="true" localSheetId="2" name="_xlnm._FilterDatabase" vbProcedure="false">Historico_Extras!$A$4:$H$104</definedName>
    <definedName function="false" hidden="true" localSheetId="3" name="_xlnm._FilterDatabase" vbProcedure="false">Panel_Control!$A$9:$H$68</definedName>
    <definedName function="false" hidden="true" localSheetId="0" name="_xlnm._FilterDatabase" vbProcedure="false">Policías!$A$4:$E$63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<sst xmlns="http://schemas.openxmlformats.org/spreadsheetml/2006/main" count="2715" uniqueCount="198">
  <si>
    <t xml:space="preserve">PLANTILLA POLICIA LOCAL</t>
  </si>
  <si>
    <t xml:space="preserve">Base de datos central de policías</t>
  </si>
  <si>
    <t xml:space="preserve">ID Empleado</t>
  </si>
  <si>
    <t xml:space="preserve">Nombre y Apellidos</t>
  </si>
  <si>
    <t xml:space="preserve">Categoría</t>
  </si>
  <si>
    <t xml:space="preserve">DIP</t>
  </si>
  <si>
    <t xml:space="preserve">Grupo</t>
  </si>
  <si>
    <t xml:space="preserve">Francisca </t>
  </si>
  <si>
    <t xml:space="preserve">Inspectora</t>
  </si>
  <si>
    <t xml:space="preserve">Jefatura</t>
  </si>
  <si>
    <t xml:space="preserve">Manuel </t>
  </si>
  <si>
    <t xml:space="preserve">Subinspector</t>
  </si>
  <si>
    <t xml:space="preserve">Juan</t>
  </si>
  <si>
    <t xml:space="preserve">Oficial Policía</t>
  </si>
  <si>
    <t xml:space="preserve">Prommesas</t>
  </si>
  <si>
    <t xml:space="preserve">Diego</t>
  </si>
  <si>
    <t xml:space="preserve">Adrián</t>
  </si>
  <si>
    <t xml:space="preserve">Grupo 3</t>
  </si>
  <si>
    <t xml:space="preserve">Juan Rafael </t>
  </si>
  <si>
    <t xml:space="preserve">Grupo 2</t>
  </si>
  <si>
    <t xml:space="preserve">Matías </t>
  </si>
  <si>
    <t xml:space="preserve">Grupo 1</t>
  </si>
  <si>
    <t xml:space="preserve">Manuel 2</t>
  </si>
  <si>
    <t xml:space="preserve">Grupo 5</t>
  </si>
  <si>
    <t xml:space="preserve">Manuel 3</t>
  </si>
  <si>
    <t xml:space="preserve">Oficial Policía Organizativo</t>
  </si>
  <si>
    <t xml:space="preserve">Julián </t>
  </si>
  <si>
    <t xml:space="preserve">Policía</t>
  </si>
  <si>
    <t xml:space="preserve">Rocío </t>
  </si>
  <si>
    <t xml:space="preserve">Juan Jesús </t>
  </si>
  <si>
    <t xml:space="preserve">Jorge</t>
  </si>
  <si>
    <t xml:space="preserve">Maria José </t>
  </si>
  <si>
    <t xml:space="preserve">Martín Francisco </t>
  </si>
  <si>
    <t xml:space="preserve">Grupo 6</t>
  </si>
  <si>
    <t xml:space="preserve">Bartolomé </t>
  </si>
  <si>
    <t xml:space="preserve">Grupo 4</t>
  </si>
  <si>
    <t xml:space="preserve">Miguel Ángel </t>
  </si>
  <si>
    <t xml:space="preserve">José </t>
  </si>
  <si>
    <t xml:space="preserve">Francisco José </t>
  </si>
  <si>
    <t xml:space="preserve">Jose Antonio </t>
  </si>
  <si>
    <t xml:space="preserve">De la Torre </t>
  </si>
  <si>
    <t xml:space="preserve">Bartolomé 2</t>
  </si>
  <si>
    <t xml:space="preserve">Pedro </t>
  </si>
  <si>
    <t xml:space="preserve">José María</t>
  </si>
  <si>
    <t xml:space="preserve">Antonio Manuel</t>
  </si>
  <si>
    <t xml:space="preserve">Daniel </t>
  </si>
  <si>
    <t xml:space="preserve">Marian</t>
  </si>
  <si>
    <t xml:space="preserve">Concepción </t>
  </si>
  <si>
    <t xml:space="preserve">Francisco </t>
  </si>
  <si>
    <t xml:space="preserve">Antonio </t>
  </si>
  <si>
    <t xml:space="preserve">Manuel Joaquín </t>
  </si>
  <si>
    <t xml:space="preserve">Juan Antonio </t>
  </si>
  <si>
    <t xml:space="preserve">Jose Manuel</t>
  </si>
  <si>
    <t xml:space="preserve">José Antonio </t>
  </si>
  <si>
    <t xml:space="preserve">Yolanda</t>
  </si>
  <si>
    <t xml:space="preserve">Narciso </t>
  </si>
  <si>
    <t xml:space="preserve">José Díaz </t>
  </si>
  <si>
    <t xml:space="preserve">Fernando </t>
  </si>
  <si>
    <t xml:space="preserve">Juan </t>
  </si>
  <si>
    <t xml:space="preserve">Gonzalez </t>
  </si>
  <si>
    <t xml:space="preserve">Diego José</t>
  </si>
  <si>
    <t xml:space="preserve">Morales</t>
  </si>
  <si>
    <t xml:space="preserve">Rafael</t>
  </si>
  <si>
    <t xml:space="preserve">Moisés </t>
  </si>
  <si>
    <t xml:space="preserve">Delgado</t>
  </si>
  <si>
    <t xml:space="preserve">Juan Pedro</t>
  </si>
  <si>
    <t xml:space="preserve">Pablo </t>
  </si>
  <si>
    <t xml:space="preserve">Eduardo</t>
  </si>
  <si>
    <t xml:space="preserve"> Flores</t>
  </si>
  <si>
    <t xml:space="preserve">Borja </t>
  </si>
  <si>
    <t xml:space="preserve">Rocío Romero</t>
  </si>
  <si>
    <t xml:space="preserve">Romero Cejudo</t>
  </si>
  <si>
    <t xml:space="preserve">Vázquez Dominguez</t>
  </si>
  <si>
    <t xml:space="preserve">Jorge España </t>
  </si>
  <si>
    <t xml:space="preserve"> Dominguez Ruiz</t>
  </si>
  <si>
    <t xml:space="preserve">Javier</t>
  </si>
  <si>
    <t xml:space="preserve">Muriel</t>
  </si>
  <si>
    <t xml:space="preserve">CUADRANTE ANUAL DE TURNOS</t>
  </si>
  <si>
    <t xml:space="preserve">M: Mañana | T: Tarde | N: Noche | D: Descanso / Libre | VAC: Vacaciones | BAJA: Baja | AP: Asuntos Propios | HS: Horas Sindicales</t>
  </si>
  <si>
    <t xml:space="preserve">ID</t>
  </si>
  <si>
    <t xml:space="preserve">Empleado</t>
  </si>
  <si>
    <t xml:space="preserve">01/08/2026</t>
  </si>
  <si>
    <t xml:space="preserve">02/08/2026</t>
  </si>
  <si>
    <t xml:space="preserve">03/08/2026</t>
  </si>
  <si>
    <t xml:space="preserve">04/08/2026</t>
  </si>
  <si>
    <t xml:space="preserve">05/08/2026</t>
  </si>
  <si>
    <t xml:space="preserve">06/08/2026</t>
  </si>
  <si>
    <t xml:space="preserve">07/08/2026</t>
  </si>
  <si>
    <t xml:space="preserve">08/08/2026</t>
  </si>
  <si>
    <t xml:space="preserve">09/08/2026</t>
  </si>
  <si>
    <t xml:space="preserve">10/08/2026</t>
  </si>
  <si>
    <t xml:space="preserve">11/08/2026</t>
  </si>
  <si>
    <t xml:space="preserve">12/08/2026</t>
  </si>
  <si>
    <t xml:space="preserve">13/08/2026</t>
  </si>
  <si>
    <t xml:space="preserve">14/08/2026</t>
  </si>
  <si>
    <t xml:space="preserve">15/08/2026</t>
  </si>
  <si>
    <t xml:space="preserve">16/08/2026</t>
  </si>
  <si>
    <t xml:space="preserve">17/08/2026</t>
  </si>
  <si>
    <t xml:space="preserve">18/08/2026</t>
  </si>
  <si>
    <t xml:space="preserve">19/08/2026</t>
  </si>
  <si>
    <t xml:space="preserve">20/08/2026</t>
  </si>
  <si>
    <t xml:space="preserve">21/08/2026</t>
  </si>
  <si>
    <t xml:space="preserve">22/08/2026</t>
  </si>
  <si>
    <t xml:space="preserve">23/08/2026</t>
  </si>
  <si>
    <t xml:space="preserve">24/08/2026</t>
  </si>
  <si>
    <t xml:space="preserve">25/08/2026</t>
  </si>
  <si>
    <t xml:space="preserve">26/08/2026</t>
  </si>
  <si>
    <t xml:space="preserve">27/08/2026</t>
  </si>
  <si>
    <t xml:space="preserve">28/08/2026</t>
  </si>
  <si>
    <t xml:space="preserve">29/08/2026</t>
  </si>
  <si>
    <t xml:space="preserve">30/08/2026</t>
  </si>
  <si>
    <t xml:space="preserve">31/08/2026</t>
  </si>
  <si>
    <t xml:space="preserve">01/09/2026</t>
  </si>
  <si>
    <t xml:space="preserve">02/09/2026</t>
  </si>
  <si>
    <t xml:space="preserve">03/09/2026</t>
  </si>
  <si>
    <t xml:space="preserve">04/09/2026</t>
  </si>
  <si>
    <t xml:space="preserve">05/09/2026</t>
  </si>
  <si>
    <t xml:space="preserve">06/09/2026</t>
  </si>
  <si>
    <t xml:space="preserve">07/09/2026</t>
  </si>
  <si>
    <t xml:space="preserve">08/09/2026</t>
  </si>
  <si>
    <t xml:space="preserve">09/09/2026</t>
  </si>
  <si>
    <t xml:space="preserve">10/09/2026</t>
  </si>
  <si>
    <t xml:space="preserve">11/09/2026</t>
  </si>
  <si>
    <t xml:space="preserve">12/09/2026</t>
  </si>
  <si>
    <t xml:space="preserve">13/09/2026</t>
  </si>
  <si>
    <t xml:space="preserve">14/09/2026</t>
  </si>
  <si>
    <t xml:space="preserve">15/09/2026</t>
  </si>
  <si>
    <t xml:space="preserve">16/09/2026</t>
  </si>
  <si>
    <t xml:space="preserve">17/09/2026</t>
  </si>
  <si>
    <t xml:space="preserve">18/09/2026</t>
  </si>
  <si>
    <t xml:space="preserve">19/09/2026</t>
  </si>
  <si>
    <t xml:space="preserve">20/09/2026</t>
  </si>
  <si>
    <t xml:space="preserve">21/09/2026</t>
  </si>
  <si>
    <t xml:space="preserve">22/09/2026</t>
  </si>
  <si>
    <t xml:space="preserve">23/09/2026</t>
  </si>
  <si>
    <t xml:space="preserve">24/09/2026</t>
  </si>
  <si>
    <t xml:space="preserve">25/09/2026</t>
  </si>
  <si>
    <t xml:space="preserve">26/09/2026</t>
  </si>
  <si>
    <t xml:space="preserve">27/09/2026</t>
  </si>
  <si>
    <t xml:space="preserve">28/09/2026</t>
  </si>
  <si>
    <t xml:space="preserve">29/09/2026</t>
  </si>
  <si>
    <t xml:space="preserve">30/09/2026</t>
  </si>
  <si>
    <t xml:space="preserve">D</t>
  </si>
  <si>
    <t xml:space="preserve">M</t>
  </si>
  <si>
    <t xml:space="preserve">BAJA</t>
  </si>
  <si>
    <t xml:space="preserve">T</t>
  </si>
  <si>
    <t xml:space="preserve">N</t>
  </si>
  <si>
    <t xml:space="preserve">L</t>
  </si>
  <si>
    <t xml:space="preserve">HISTÓRICO GENERAL DE EXTRAS REALIZADOS</t>
  </si>
  <si>
    <t xml:space="preserve">Registro de extras consolidados</t>
  </si>
  <si>
    <t xml:space="preserve">ID Registro</t>
  </si>
  <si>
    <t xml:space="preserve">Fecha Servicio</t>
  </si>
  <si>
    <t xml:space="preserve">Nombre Empleado</t>
  </si>
  <si>
    <t xml:space="preserve">Turno Cubierto</t>
  </si>
  <si>
    <t xml:space="preserve">Días Extras</t>
  </si>
  <si>
    <t xml:space="preserve">Total Acumulado</t>
  </si>
  <si>
    <t xml:space="preserve">Motivo / Observaciones</t>
  </si>
  <si>
    <t xml:space="preserve">Mañana</t>
  </si>
  <si>
    <t xml:space="preserve">Refuerzo por evento local</t>
  </si>
  <si>
    <t xml:space="preserve">Tarde</t>
  </si>
  <si>
    <t xml:space="preserve">Sustitución urgente</t>
  </si>
  <si>
    <t xml:space="preserve">Noche</t>
  </si>
  <si>
    <t xml:space="preserve">Coordinación nocturna</t>
  </si>
  <si>
    <t xml:space="preserve">PANEL DE CONTROL Y ESTADO GENERAL DE PLANTILLA DE LA POLICÍA</t>
  </si>
  <si>
    <t xml:space="preserve">PARÁMETROS DE CONSULTA GENERAL</t>
  </si>
  <si>
    <t xml:space="preserve">Fecha del Servicio en Evaluación:</t>
  </si>
  <si>
    <t xml:space="preserve">Estado Requerido:</t>
  </si>
  <si>
    <t xml:space="preserve">Estado Hoy en Cuadrante</t>
  </si>
  <si>
    <t xml:space="preserve">Turno Día Anterior</t>
  </si>
  <si>
    <t xml:space="preserve">Validación Descanso 24h</t>
  </si>
  <si>
    <t xml:space="preserve">Días Extras Acumulados</t>
  </si>
  <si>
    <t xml:space="preserve">Estatus Disponibilidad</t>
  </si>
  <si>
    <t xml:space="preserve">SISTEMA DE ADJUDICACIÓN DE EXTRAS A INSCRITOS</t>
  </si>
  <si>
    <t xml:space="preserve">1. Define las plazas | 2. Apunta voluntarios inscritos | 3. Adjudica primero a Libres (D) por menos extras y luego a Dobles Turnos (excluyendo Noche-&gt;Mañana, VAC, BAJA, AP, HS).</t>
  </si>
  <si>
    <t xml:space="preserve">1. OFERTAS DE EXTRAS PUBLICADAS POR JEFATURA</t>
  </si>
  <si>
    <t xml:space="preserve">Nº Oferta</t>
  </si>
  <si>
    <t xml:space="preserve">Fecha del Extra</t>
  </si>
  <si>
    <t xml:space="preserve">Turno Requerido</t>
  </si>
  <si>
    <t xml:space="preserve">Puesto / Categoría</t>
  </si>
  <si>
    <t xml:space="preserve">Plazas / Extras Solicitados</t>
  </si>
  <si>
    <t xml:space="preserve">Motivo / Departamento</t>
  </si>
  <si>
    <t xml:space="preserve">Oficial 1ª</t>
  </si>
  <si>
    <t xml:space="preserve">Jefatura - Refuerzo Fiestas (2 plazas)</t>
  </si>
  <si>
    <t xml:space="preserve">Oficial 2ª</t>
  </si>
  <si>
    <t xml:space="preserve">Servicios Técnicos (1 plaza)</t>
  </si>
  <si>
    <t xml:space="preserve">Coordinador</t>
  </si>
  <si>
    <t xml:space="preserve">Operativo Especial (3 plazas)</t>
  </si>
  <si>
    <t xml:space="preserve">Nº DE OFERTA A EVALUAR Y ADJUDICAR:</t>
  </si>
  <si>
    <t xml:space="preserve">PLAZAS EXTRAS SOLICITADAS:</t>
  </si>
  <si>
    <t xml:space="preserve">2. REGISTRO DE TRABAJADORES APUNTADOS / VOLUNTARIOS Y ADJUDICACIÓN DE PLAZAS</t>
  </si>
  <si>
    <t xml:space="preserve">ID Voluntario Apuntado</t>
  </si>
  <si>
    <t xml:space="preserve">Estado Cuadrante (Día Extra)</t>
  </si>
  <si>
    <t xml:space="preserve">Score Prioridad</t>
  </si>
  <si>
    <t xml:space="preserve">Ranking de Equidad</t>
  </si>
  <si>
    <t xml:space="preserve">ESTADO ADJUDICACIÓN</t>
  </si>
  <si>
    <t xml:space="preserve">RESUMEN TOTAL DE EXTRAS POR POLICIA</t>
  </si>
  <si>
    <t xml:space="preserve">Nombre del Trabajador</t>
  </si>
  <si>
    <t xml:space="preserve">Total Días Extras Acumulados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</si>
</sst>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C65911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1F4E78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2F5597"/>
        <bgColor rgb="FF1F4E7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2F559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0" activeCellId="0" sqref="H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1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25"/>
    <col collapsed="false" customWidth="true" hidden="false" outlineLevel="0" max="16384" min="16383" style="0" width="11.53"/>
  </cols>
  <sheetData>
    <row r="1" customFormat="false" ht="18.5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n">
        <v>101</v>
      </c>
      <c r="B5" s="6" t="s">
        <v>7</v>
      </c>
      <c r="C5" s="6" t="s">
        <v>8</v>
      </c>
      <c r="D5" s="6" t="n">
        <v>1</v>
      </c>
      <c r="E5" s="6" t="s">
        <v>9</v>
      </c>
    </row>
    <row r="6" customFormat="false" ht="15" hidden="false" customHeight="false" outlineLevel="0" collapsed="false">
      <c r="A6" s="5" t="n">
        <v>102</v>
      </c>
      <c r="B6" s="6" t="s">
        <v>10</v>
      </c>
      <c r="C6" s="6" t="s">
        <v>11</v>
      </c>
      <c r="D6" s="6" t="n">
        <v>2</v>
      </c>
      <c r="E6" s="6" t="s">
        <v>9</v>
      </c>
    </row>
    <row r="7" customFormat="false" ht="15" hidden="false" customHeight="false" outlineLevel="0" collapsed="false">
      <c r="A7" s="5" t="n">
        <v>103</v>
      </c>
      <c r="B7" s="6" t="s">
        <v>12</v>
      </c>
      <c r="C7" s="6" t="s">
        <v>13</v>
      </c>
      <c r="D7" s="6" t="n">
        <v>3</v>
      </c>
      <c r="E7" s="6" t="s">
        <v>14</v>
      </c>
    </row>
    <row r="8" customFormat="false" ht="15" hidden="false" customHeight="false" outlineLevel="0" collapsed="false">
      <c r="A8" s="5" t="n">
        <v>104</v>
      </c>
      <c r="B8" s="6" t="s">
        <v>15</v>
      </c>
      <c r="C8" s="6" t="s">
        <v>13</v>
      </c>
      <c r="D8" s="6" t="n">
        <v>4</v>
      </c>
      <c r="E8" s="6"/>
    </row>
    <row r="9" customFormat="false" ht="15" hidden="false" customHeight="false" outlineLevel="0" collapsed="false">
      <c r="A9" s="5" t="n">
        <v>105</v>
      </c>
      <c r="B9" s="6" t="s">
        <v>16</v>
      </c>
      <c r="C9" s="6" t="s">
        <v>13</v>
      </c>
      <c r="D9" s="6" t="n">
        <v>5</v>
      </c>
      <c r="E9" s="6" t="s">
        <v>17</v>
      </c>
    </row>
    <row r="10" customFormat="false" ht="15" hidden="false" customHeight="false" outlineLevel="0" collapsed="false">
      <c r="A10" s="5" t="n">
        <v>106</v>
      </c>
      <c r="B10" s="6" t="s">
        <v>18</v>
      </c>
      <c r="C10" s="6" t="s">
        <v>13</v>
      </c>
      <c r="D10" s="6" t="n">
        <v>6</v>
      </c>
      <c r="E10" s="6" t="s">
        <v>19</v>
      </c>
    </row>
    <row r="11" customFormat="false" ht="15" hidden="false" customHeight="false" outlineLevel="0" collapsed="false">
      <c r="A11" s="5" t="n">
        <v>107</v>
      </c>
      <c r="B11" s="6" t="s">
        <v>20</v>
      </c>
      <c r="C11" s="6" t="s">
        <v>13</v>
      </c>
      <c r="D11" s="6" t="n">
        <v>7</v>
      </c>
      <c r="E11" s="6" t="s">
        <v>21</v>
      </c>
    </row>
    <row r="12" customFormat="false" ht="15" hidden="false" customHeight="false" outlineLevel="0" collapsed="false">
      <c r="A12" s="5" t="n">
        <v>108</v>
      </c>
      <c r="B12" s="6" t="s">
        <v>22</v>
      </c>
      <c r="C12" s="6" t="s">
        <v>13</v>
      </c>
      <c r="D12" s="6" t="n">
        <v>8</v>
      </c>
      <c r="E12" s="6" t="s">
        <v>23</v>
      </c>
    </row>
    <row r="13" customFormat="false" ht="15" hidden="false" customHeight="false" outlineLevel="0" collapsed="false">
      <c r="A13" s="5" t="n">
        <v>109</v>
      </c>
      <c r="B13" s="6" t="s">
        <v>24</v>
      </c>
      <c r="C13" s="6" t="s">
        <v>25</v>
      </c>
      <c r="D13" s="6" t="n">
        <v>9</v>
      </c>
      <c r="E13" s="6" t="s">
        <v>9</v>
      </c>
    </row>
    <row r="14" customFormat="false" ht="15" hidden="false" customHeight="false" outlineLevel="0" collapsed="false">
      <c r="A14" s="5" t="n">
        <v>110</v>
      </c>
      <c r="B14" s="6" t="s">
        <v>26</v>
      </c>
      <c r="C14" s="6" t="s">
        <v>27</v>
      </c>
      <c r="D14" s="6" t="n">
        <v>10</v>
      </c>
      <c r="E14" s="6" t="s">
        <v>9</v>
      </c>
    </row>
    <row r="15" customFormat="false" ht="15" hidden="false" customHeight="false" outlineLevel="0" collapsed="false">
      <c r="A15" s="5" t="n">
        <v>111</v>
      </c>
      <c r="B15" s="6" t="s">
        <v>28</v>
      </c>
      <c r="C15" s="6" t="s">
        <v>27</v>
      </c>
      <c r="D15" s="6" t="n">
        <v>11</v>
      </c>
      <c r="E15" s="6" t="s">
        <v>14</v>
      </c>
    </row>
    <row r="16" customFormat="false" ht="15" hidden="false" customHeight="false" outlineLevel="0" collapsed="false">
      <c r="A16" s="5" t="n">
        <v>112</v>
      </c>
      <c r="B16" s="6" t="s">
        <v>29</v>
      </c>
      <c r="C16" s="6" t="s">
        <v>27</v>
      </c>
      <c r="D16" s="6" t="n">
        <v>12</v>
      </c>
      <c r="E16" s="6" t="s">
        <v>23</v>
      </c>
    </row>
    <row r="17" customFormat="false" ht="15" hidden="false" customHeight="false" outlineLevel="0" collapsed="false">
      <c r="A17" s="5" t="n">
        <v>113</v>
      </c>
      <c r="B17" s="6" t="s">
        <v>30</v>
      </c>
      <c r="C17" s="6" t="s">
        <v>27</v>
      </c>
      <c r="D17" s="6" t="n">
        <v>13</v>
      </c>
      <c r="E17" s="6" t="s">
        <v>17</v>
      </c>
    </row>
    <row r="18" customFormat="false" ht="15" hidden="false" customHeight="false" outlineLevel="0" collapsed="false">
      <c r="A18" s="5" t="n">
        <v>114</v>
      </c>
      <c r="B18" s="6" t="s">
        <v>31</v>
      </c>
      <c r="C18" s="6" t="s">
        <v>27</v>
      </c>
      <c r="D18" s="6" t="n">
        <v>14</v>
      </c>
      <c r="E18" s="6" t="s">
        <v>9</v>
      </c>
    </row>
    <row r="19" customFormat="false" ht="15" hidden="false" customHeight="false" outlineLevel="0" collapsed="false">
      <c r="A19" s="5" t="n">
        <v>115</v>
      </c>
      <c r="B19" s="6" t="s">
        <v>32</v>
      </c>
      <c r="C19" s="6" t="s">
        <v>27</v>
      </c>
      <c r="D19" s="6" t="n">
        <v>15</v>
      </c>
      <c r="E19" s="6" t="s">
        <v>33</v>
      </c>
    </row>
    <row r="20" customFormat="false" ht="15" hidden="false" customHeight="false" outlineLevel="0" collapsed="false">
      <c r="A20" s="5" t="n">
        <v>116</v>
      </c>
      <c r="B20" s="6" t="s">
        <v>34</v>
      </c>
      <c r="C20" s="6" t="s">
        <v>27</v>
      </c>
      <c r="D20" s="6" t="n">
        <v>16</v>
      </c>
      <c r="E20" s="6" t="s">
        <v>35</v>
      </c>
    </row>
    <row r="21" customFormat="false" ht="15" hidden="false" customHeight="false" outlineLevel="0" collapsed="false">
      <c r="A21" s="5" t="n">
        <v>117</v>
      </c>
      <c r="B21" s="6" t="s">
        <v>36</v>
      </c>
      <c r="C21" s="6" t="s">
        <v>27</v>
      </c>
      <c r="D21" s="6" t="n">
        <v>17</v>
      </c>
      <c r="E21" s="6" t="s">
        <v>21</v>
      </c>
    </row>
    <row r="22" customFormat="false" ht="15" hidden="false" customHeight="false" outlineLevel="0" collapsed="false">
      <c r="A22" s="5" t="n">
        <v>118</v>
      </c>
      <c r="B22" s="6" t="s">
        <v>37</v>
      </c>
      <c r="C22" s="6" t="s">
        <v>27</v>
      </c>
      <c r="D22" s="6" t="n">
        <v>18</v>
      </c>
      <c r="E22" s="6" t="s">
        <v>19</v>
      </c>
    </row>
    <row r="23" customFormat="false" ht="15" hidden="false" customHeight="false" outlineLevel="0" collapsed="false">
      <c r="A23" s="5" t="n">
        <v>119</v>
      </c>
      <c r="B23" s="6" t="s">
        <v>38</v>
      </c>
      <c r="C23" s="6" t="s">
        <v>27</v>
      </c>
      <c r="D23" s="6" t="n">
        <v>19</v>
      </c>
      <c r="E23" s="6" t="s">
        <v>9</v>
      </c>
    </row>
    <row r="24" customFormat="false" ht="15" hidden="false" customHeight="false" outlineLevel="0" collapsed="false">
      <c r="A24" s="5" t="n">
        <v>120</v>
      </c>
      <c r="B24" s="6" t="s">
        <v>39</v>
      </c>
      <c r="C24" s="6" t="s">
        <v>27</v>
      </c>
      <c r="D24" s="6" t="n">
        <v>20</v>
      </c>
      <c r="E24" s="6" t="s">
        <v>23</v>
      </c>
    </row>
    <row r="25" customFormat="false" ht="15" hidden="false" customHeight="false" outlineLevel="0" collapsed="false">
      <c r="A25" s="5" t="n">
        <v>121</v>
      </c>
      <c r="B25" s="6" t="s">
        <v>40</v>
      </c>
      <c r="C25" s="6" t="s">
        <v>27</v>
      </c>
      <c r="D25" s="6" t="n">
        <v>21</v>
      </c>
      <c r="E25" s="6" t="s">
        <v>33</v>
      </c>
    </row>
    <row r="26" customFormat="false" ht="15" hidden="false" customHeight="false" outlineLevel="0" collapsed="false">
      <c r="A26" s="5" t="n">
        <v>122</v>
      </c>
      <c r="B26" s="6" t="s">
        <v>41</v>
      </c>
      <c r="C26" s="6" t="s">
        <v>27</v>
      </c>
      <c r="D26" s="6" t="n">
        <v>22</v>
      </c>
      <c r="E26" s="6" t="s">
        <v>35</v>
      </c>
    </row>
    <row r="27" customFormat="false" ht="15" hidden="false" customHeight="false" outlineLevel="0" collapsed="false">
      <c r="A27" s="5" t="n">
        <v>123</v>
      </c>
      <c r="B27" s="6" t="s">
        <v>42</v>
      </c>
      <c r="C27" s="6" t="s">
        <v>27</v>
      </c>
      <c r="D27" s="6" t="n">
        <v>23</v>
      </c>
      <c r="E27" s="6" t="s">
        <v>35</v>
      </c>
    </row>
    <row r="28" customFormat="false" ht="15" hidden="false" customHeight="false" outlineLevel="0" collapsed="false">
      <c r="A28" s="5" t="n">
        <v>124</v>
      </c>
      <c r="B28" s="6" t="s">
        <v>43</v>
      </c>
      <c r="C28" s="6" t="s">
        <v>27</v>
      </c>
      <c r="D28" s="6" t="n">
        <v>24</v>
      </c>
      <c r="E28" s="6" t="s">
        <v>9</v>
      </c>
    </row>
    <row r="29" customFormat="false" ht="15" hidden="false" customHeight="false" outlineLevel="0" collapsed="false">
      <c r="A29" s="5" t="n">
        <v>125</v>
      </c>
      <c r="B29" s="6" t="s">
        <v>44</v>
      </c>
      <c r="C29" s="6" t="s">
        <v>27</v>
      </c>
      <c r="D29" s="6" t="n">
        <v>25</v>
      </c>
      <c r="E29" s="6" t="s">
        <v>23</v>
      </c>
    </row>
    <row r="30" customFormat="false" ht="15" hidden="false" customHeight="false" outlineLevel="0" collapsed="false">
      <c r="A30" s="5" t="n">
        <v>126</v>
      </c>
      <c r="B30" s="6" t="s">
        <v>45</v>
      </c>
      <c r="C30" s="6" t="s">
        <v>27</v>
      </c>
      <c r="D30" s="6" t="n">
        <v>26</v>
      </c>
      <c r="E30" s="6" t="s">
        <v>35</v>
      </c>
    </row>
    <row r="31" customFormat="false" ht="15" hidden="false" customHeight="false" outlineLevel="0" collapsed="false">
      <c r="A31" s="5" t="n">
        <v>127</v>
      </c>
      <c r="B31" s="6" t="s">
        <v>46</v>
      </c>
      <c r="C31" s="6" t="s">
        <v>27</v>
      </c>
      <c r="D31" s="6" t="n">
        <v>27</v>
      </c>
      <c r="E31" s="6" t="s">
        <v>23</v>
      </c>
    </row>
    <row r="32" customFormat="false" ht="15" hidden="false" customHeight="false" outlineLevel="0" collapsed="false">
      <c r="A32" s="5" t="n">
        <v>128</v>
      </c>
      <c r="B32" s="6" t="s">
        <v>47</v>
      </c>
      <c r="C32" s="6" t="s">
        <v>27</v>
      </c>
      <c r="D32" s="6" t="n">
        <v>28</v>
      </c>
      <c r="E32" s="6" t="s">
        <v>33</v>
      </c>
    </row>
    <row r="33" customFormat="false" ht="15" hidden="false" customHeight="false" outlineLevel="0" collapsed="false">
      <c r="A33" s="5" t="n">
        <v>129</v>
      </c>
      <c r="B33" s="6" t="s">
        <v>48</v>
      </c>
      <c r="C33" s="6" t="s">
        <v>27</v>
      </c>
      <c r="D33" s="6" t="n">
        <v>29</v>
      </c>
      <c r="E33" s="6" t="s">
        <v>33</v>
      </c>
    </row>
    <row r="34" customFormat="false" ht="15" hidden="false" customHeight="false" outlineLevel="0" collapsed="false">
      <c r="A34" s="5" t="n">
        <v>130</v>
      </c>
      <c r="B34" s="6" t="s">
        <v>49</v>
      </c>
      <c r="C34" s="6" t="s">
        <v>27</v>
      </c>
      <c r="D34" s="6" t="n">
        <v>30</v>
      </c>
      <c r="E34" s="6" t="s">
        <v>35</v>
      </c>
    </row>
    <row r="35" customFormat="false" ht="15" hidden="false" customHeight="false" outlineLevel="0" collapsed="false">
      <c r="A35" s="5" t="n">
        <v>131</v>
      </c>
      <c r="B35" s="6" t="s">
        <v>50</v>
      </c>
      <c r="C35" s="6" t="s">
        <v>27</v>
      </c>
      <c r="D35" s="6" t="n">
        <v>31</v>
      </c>
      <c r="E35" s="6" t="s">
        <v>23</v>
      </c>
    </row>
    <row r="36" customFormat="false" ht="15" hidden="false" customHeight="false" outlineLevel="0" collapsed="false">
      <c r="A36" s="5" t="n">
        <v>132</v>
      </c>
      <c r="B36" s="6" t="s">
        <v>51</v>
      </c>
      <c r="C36" s="6" t="s">
        <v>27</v>
      </c>
      <c r="D36" s="6" t="n">
        <v>32</v>
      </c>
      <c r="E36" s="6" t="s">
        <v>21</v>
      </c>
    </row>
    <row r="37" customFormat="false" ht="15" hidden="false" customHeight="false" outlineLevel="0" collapsed="false">
      <c r="A37" s="5" t="n">
        <v>133</v>
      </c>
      <c r="B37" s="6" t="s">
        <v>52</v>
      </c>
      <c r="C37" s="6" t="s">
        <v>27</v>
      </c>
      <c r="D37" s="6" t="n">
        <v>33</v>
      </c>
      <c r="E37" s="6"/>
    </row>
    <row r="38" customFormat="false" ht="15" hidden="false" customHeight="false" outlineLevel="0" collapsed="false">
      <c r="A38" s="5" t="n">
        <v>134</v>
      </c>
      <c r="B38" s="6" t="s">
        <v>53</v>
      </c>
      <c r="C38" s="6" t="s">
        <v>27</v>
      </c>
      <c r="D38" s="6" t="n">
        <v>34</v>
      </c>
      <c r="E38" s="6" t="s">
        <v>21</v>
      </c>
    </row>
    <row r="39" customFormat="false" ht="15" hidden="false" customHeight="false" outlineLevel="0" collapsed="false">
      <c r="A39" s="5" t="n">
        <v>135</v>
      </c>
      <c r="B39" s="6" t="s">
        <v>54</v>
      </c>
      <c r="C39" s="6" t="s">
        <v>27</v>
      </c>
      <c r="D39" s="6" t="n">
        <v>35</v>
      </c>
      <c r="E39" s="6" t="s">
        <v>35</v>
      </c>
    </row>
    <row r="40" customFormat="false" ht="15" hidden="false" customHeight="false" outlineLevel="0" collapsed="false">
      <c r="A40" s="5" t="n">
        <v>136</v>
      </c>
      <c r="B40" s="6" t="s">
        <v>55</v>
      </c>
      <c r="C40" s="6" t="s">
        <v>27</v>
      </c>
      <c r="D40" s="6" t="n">
        <v>36</v>
      </c>
      <c r="E40" s="6" t="s">
        <v>21</v>
      </c>
    </row>
    <row r="41" customFormat="false" ht="15" hidden="false" customHeight="false" outlineLevel="0" collapsed="false">
      <c r="A41" s="5" t="n">
        <v>137</v>
      </c>
      <c r="B41" s="6" t="s">
        <v>56</v>
      </c>
      <c r="C41" s="6" t="s">
        <v>27</v>
      </c>
      <c r="D41" s="6" t="n">
        <v>37</v>
      </c>
      <c r="E41" s="6" t="s">
        <v>33</v>
      </c>
    </row>
    <row r="42" customFormat="false" ht="15" hidden="false" customHeight="false" outlineLevel="0" collapsed="false">
      <c r="A42" s="5" t="n">
        <v>138</v>
      </c>
      <c r="B42" s="6" t="s">
        <v>57</v>
      </c>
      <c r="C42" s="6" t="s">
        <v>27</v>
      </c>
      <c r="D42" s="6" t="n">
        <v>38</v>
      </c>
      <c r="E42" s="6" t="s">
        <v>35</v>
      </c>
    </row>
    <row r="43" customFormat="false" ht="15" hidden="false" customHeight="false" outlineLevel="0" collapsed="false">
      <c r="A43" s="5" t="n">
        <v>139</v>
      </c>
      <c r="B43" s="6" t="s">
        <v>58</v>
      </c>
      <c r="C43" s="6" t="s">
        <v>27</v>
      </c>
      <c r="D43" s="6" t="n">
        <v>39</v>
      </c>
      <c r="E43" s="6" t="s">
        <v>23</v>
      </c>
    </row>
    <row r="44" customFormat="false" ht="15" hidden="false" customHeight="false" outlineLevel="0" collapsed="false">
      <c r="A44" s="5" t="n">
        <v>140</v>
      </c>
      <c r="B44" s="6" t="s">
        <v>59</v>
      </c>
      <c r="C44" s="6" t="s">
        <v>27</v>
      </c>
      <c r="D44" s="6" t="n">
        <v>40</v>
      </c>
      <c r="E44" s="6" t="s">
        <v>17</v>
      </c>
    </row>
    <row r="45" customFormat="false" ht="15" hidden="false" customHeight="false" outlineLevel="0" collapsed="false">
      <c r="A45" s="5" t="n">
        <v>141</v>
      </c>
      <c r="B45" s="6" t="s">
        <v>60</v>
      </c>
      <c r="C45" s="6" t="s">
        <v>27</v>
      </c>
      <c r="D45" s="6" t="n">
        <v>41</v>
      </c>
      <c r="E45" s="6" t="s">
        <v>17</v>
      </c>
    </row>
    <row r="46" customFormat="false" ht="15" hidden="false" customHeight="false" outlineLevel="0" collapsed="false">
      <c r="A46" s="5" t="n">
        <v>142</v>
      </c>
      <c r="B46" s="6" t="s">
        <v>61</v>
      </c>
      <c r="C46" s="6" t="s">
        <v>27</v>
      </c>
      <c r="D46" s="6" t="n">
        <v>42</v>
      </c>
      <c r="E46" s="6" t="s">
        <v>33</v>
      </c>
    </row>
    <row r="47" customFormat="false" ht="15" hidden="false" customHeight="false" outlineLevel="0" collapsed="false">
      <c r="A47" s="5" t="n">
        <v>143</v>
      </c>
      <c r="B47" s="6" t="s">
        <v>62</v>
      </c>
      <c r="C47" s="6" t="s">
        <v>27</v>
      </c>
      <c r="D47" s="6" t="n">
        <v>43</v>
      </c>
      <c r="E47" s="6" t="s">
        <v>17</v>
      </c>
    </row>
    <row r="48" customFormat="false" ht="15" hidden="false" customHeight="false" outlineLevel="0" collapsed="false">
      <c r="A48" s="5" t="n">
        <v>144</v>
      </c>
      <c r="B48" s="6" t="s">
        <v>63</v>
      </c>
      <c r="C48" s="6" t="s">
        <v>27</v>
      </c>
      <c r="D48" s="6" t="n">
        <v>44</v>
      </c>
      <c r="E48" s="6" t="s">
        <v>17</v>
      </c>
    </row>
    <row r="49" customFormat="false" ht="15" hidden="false" customHeight="false" outlineLevel="0" collapsed="false">
      <c r="A49" s="5" t="n">
        <v>145</v>
      </c>
      <c r="B49" s="6" t="s">
        <v>64</v>
      </c>
      <c r="C49" s="6" t="s">
        <v>27</v>
      </c>
      <c r="D49" s="6" t="n">
        <v>45</v>
      </c>
      <c r="E49" s="6" t="s">
        <v>21</v>
      </c>
    </row>
    <row r="50" customFormat="false" ht="15" hidden="false" customHeight="false" outlineLevel="0" collapsed="false">
      <c r="A50" s="5" t="n">
        <v>146</v>
      </c>
      <c r="B50" s="6" t="s">
        <v>65</v>
      </c>
      <c r="C50" s="6" t="s">
        <v>27</v>
      </c>
      <c r="D50" s="6" t="n">
        <v>46</v>
      </c>
      <c r="E50" s="6" t="s">
        <v>21</v>
      </c>
    </row>
    <row r="51" customFormat="false" ht="15" hidden="false" customHeight="false" outlineLevel="0" collapsed="false">
      <c r="A51" s="5" t="n">
        <v>147</v>
      </c>
      <c r="B51" s="6" t="s">
        <v>52</v>
      </c>
      <c r="C51" s="6" t="s">
        <v>27</v>
      </c>
      <c r="D51" s="6" t="n">
        <v>47</v>
      </c>
      <c r="E51" s="6" t="s">
        <v>21</v>
      </c>
    </row>
    <row r="52" customFormat="false" ht="15" hidden="false" customHeight="false" outlineLevel="0" collapsed="false">
      <c r="A52" s="5" t="n">
        <v>148</v>
      </c>
      <c r="B52" s="6" t="s">
        <v>28</v>
      </c>
      <c r="C52" s="6" t="s">
        <v>27</v>
      </c>
      <c r="D52" s="6" t="n">
        <v>48</v>
      </c>
      <c r="E52" s="6" t="s">
        <v>19</v>
      </c>
    </row>
    <row r="53" customFormat="false" ht="15" hidden="false" customHeight="false" outlineLevel="0" collapsed="false">
      <c r="A53" s="5" t="n">
        <v>149</v>
      </c>
      <c r="B53" s="6" t="s">
        <v>66</v>
      </c>
      <c r="C53" s="6" t="s">
        <v>27</v>
      </c>
      <c r="D53" s="6" t="n">
        <v>49</v>
      </c>
      <c r="E53" s="6" t="s">
        <v>33</v>
      </c>
    </row>
    <row r="54" customFormat="false" ht="15" hidden="false" customHeight="false" outlineLevel="0" collapsed="false">
      <c r="A54" s="5" t="n">
        <v>150</v>
      </c>
      <c r="B54" s="6" t="s">
        <v>67</v>
      </c>
      <c r="C54" s="6" t="s">
        <v>27</v>
      </c>
      <c r="D54" s="6" t="n">
        <v>50</v>
      </c>
      <c r="E54" s="6" t="s">
        <v>19</v>
      </c>
    </row>
    <row r="55" customFormat="false" ht="15" hidden="false" customHeight="false" outlineLevel="0" collapsed="false">
      <c r="A55" s="5" t="n">
        <v>151</v>
      </c>
      <c r="B55" s="6" t="s">
        <v>68</v>
      </c>
      <c r="C55" s="6" t="s">
        <v>27</v>
      </c>
      <c r="D55" s="6" t="n">
        <v>51</v>
      </c>
      <c r="E55" s="6" t="s">
        <v>19</v>
      </c>
    </row>
    <row r="56" customFormat="false" ht="15" hidden="false" customHeight="false" outlineLevel="0" collapsed="false">
      <c r="A56" s="5" t="n">
        <v>152</v>
      </c>
      <c r="B56" s="6" t="s">
        <v>69</v>
      </c>
      <c r="C56" s="6" t="s">
        <v>27</v>
      </c>
      <c r="D56" s="6" t="n">
        <v>52</v>
      </c>
      <c r="E56" s="6" t="s">
        <v>23</v>
      </c>
    </row>
    <row r="57" customFormat="false" ht="15" hidden="false" customHeight="false" outlineLevel="0" collapsed="false">
      <c r="A57" s="5" t="n">
        <v>153</v>
      </c>
      <c r="B57" s="6" t="s">
        <v>70</v>
      </c>
      <c r="C57" s="6" t="s">
        <v>27</v>
      </c>
      <c r="D57" s="6" t="n">
        <v>53</v>
      </c>
      <c r="E57" s="6" t="s">
        <v>17</v>
      </c>
    </row>
    <row r="58" customFormat="false" ht="15" hidden="false" customHeight="false" outlineLevel="0" collapsed="false">
      <c r="A58" s="5" t="n">
        <v>154</v>
      </c>
      <c r="B58" s="6" t="s">
        <v>71</v>
      </c>
      <c r="C58" s="6" t="s">
        <v>27</v>
      </c>
      <c r="D58" s="6" t="n">
        <v>54</v>
      </c>
      <c r="E58" s="6" t="s">
        <v>17</v>
      </c>
    </row>
    <row r="59" customFormat="false" ht="15" hidden="false" customHeight="false" outlineLevel="0" collapsed="false">
      <c r="A59" s="5" t="n">
        <v>155</v>
      </c>
      <c r="B59" s="6" t="s">
        <v>72</v>
      </c>
      <c r="C59" s="6" t="s">
        <v>27</v>
      </c>
      <c r="D59" s="6" t="n">
        <v>55</v>
      </c>
      <c r="E59" s="6" t="s">
        <v>35</v>
      </c>
    </row>
    <row r="60" customFormat="false" ht="15" hidden="false" customHeight="false" outlineLevel="0" collapsed="false">
      <c r="A60" s="5" t="n">
        <v>156</v>
      </c>
      <c r="B60" s="6" t="s">
        <v>73</v>
      </c>
      <c r="C60" s="6" t="s">
        <v>27</v>
      </c>
      <c r="D60" s="6" t="n">
        <v>56</v>
      </c>
      <c r="E60" s="6" t="s">
        <v>33</v>
      </c>
    </row>
    <row r="61" customFormat="false" ht="15" hidden="false" customHeight="false" outlineLevel="0" collapsed="false">
      <c r="A61" s="5" t="n">
        <v>157</v>
      </c>
      <c r="B61" s="6" t="s">
        <v>74</v>
      </c>
      <c r="C61" s="6" t="s">
        <v>27</v>
      </c>
      <c r="D61" s="6" t="n">
        <v>57</v>
      </c>
      <c r="E61" s="6" t="s">
        <v>19</v>
      </c>
    </row>
    <row r="62" customFormat="false" ht="15" hidden="false" customHeight="false" outlineLevel="0" collapsed="false">
      <c r="A62" s="5" t="n">
        <v>158</v>
      </c>
      <c r="B62" s="6" t="s">
        <v>75</v>
      </c>
      <c r="C62" s="6" t="s">
        <v>27</v>
      </c>
      <c r="D62" s="6" t="n">
        <v>58</v>
      </c>
      <c r="E62" s="6" t="s">
        <v>19</v>
      </c>
    </row>
    <row r="63" customFormat="false" ht="15" hidden="false" customHeight="false" outlineLevel="0" collapsed="false">
      <c r="A63" s="5" t="n">
        <v>159</v>
      </c>
      <c r="B63" s="6" t="s">
        <v>76</v>
      </c>
      <c r="C63" s="6" t="s">
        <v>27</v>
      </c>
      <c r="D63" s="6" t="n">
        <v>59</v>
      </c>
      <c r="E63" s="6" t="s">
        <v>19</v>
      </c>
    </row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4:E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1"/>
    <col collapsed="false" customWidth="true" hidden="false" outlineLevel="0" max="3" min="3" style="1" width="26"/>
    <col collapsed="false" customWidth="true" hidden="false" outlineLevel="0" max="34" min="4" style="1" width="13"/>
  </cols>
  <sheetData>
    <row r="1" customFormat="false" ht="18.55" hidden="false" customHeight="false" outlineLevel="0" collapsed="false">
      <c r="A1" s="2" t="s">
        <v>77</v>
      </c>
    </row>
    <row r="2" customFormat="false" ht="15" hidden="false" customHeight="false" outlineLevel="0" collapsed="false">
      <c r="A2" s="3" t="s">
        <v>78</v>
      </c>
    </row>
    <row r="4" customFormat="false" ht="15" hidden="false" customHeight="false" outlineLevel="0" collapsed="false">
      <c r="A4" s="7" t="s">
        <v>79</v>
      </c>
      <c r="B4" s="7" t="s">
        <v>80</v>
      </c>
      <c r="C4" s="7" t="s">
        <v>4</v>
      </c>
      <c r="D4" s="7" t="s">
        <v>6</v>
      </c>
      <c r="E4" s="7" t="s">
        <v>81</v>
      </c>
      <c r="F4" s="7" t="s">
        <v>82</v>
      </c>
      <c r="G4" s="7" t="s">
        <v>83</v>
      </c>
      <c r="H4" s="7" t="s">
        <v>84</v>
      </c>
      <c r="I4" s="7" t="s">
        <v>85</v>
      </c>
      <c r="J4" s="7" t="s">
        <v>86</v>
      </c>
      <c r="K4" s="7" t="s">
        <v>87</v>
      </c>
      <c r="L4" s="7" t="s">
        <v>88</v>
      </c>
      <c r="M4" s="7" t="s">
        <v>89</v>
      </c>
      <c r="N4" s="7" t="s">
        <v>90</v>
      </c>
      <c r="O4" s="7" t="s">
        <v>91</v>
      </c>
      <c r="P4" s="7" t="s">
        <v>92</v>
      </c>
      <c r="Q4" s="7" t="s">
        <v>93</v>
      </c>
      <c r="R4" s="7" t="s">
        <v>94</v>
      </c>
      <c r="S4" s="7" t="s">
        <v>95</v>
      </c>
      <c r="T4" s="7" t="s">
        <v>96</v>
      </c>
      <c r="U4" s="7" t="s">
        <v>97</v>
      </c>
      <c r="V4" s="7" t="s">
        <v>98</v>
      </c>
      <c r="W4" s="7" t="s">
        <v>99</v>
      </c>
      <c r="X4" s="7" t="s">
        <v>100</v>
      </c>
      <c r="Y4" s="7" t="s">
        <v>101</v>
      </c>
      <c r="Z4" s="7" t="s">
        <v>102</v>
      </c>
      <c r="AA4" s="7" t="s">
        <v>103</v>
      </c>
      <c r="AB4" s="7" t="s">
        <v>104</v>
      </c>
      <c r="AC4" s="7" t="s">
        <v>105</v>
      </c>
      <c r="AD4" s="7" t="s">
        <v>106</v>
      </c>
      <c r="AE4" s="7" t="s">
        <v>107</v>
      </c>
      <c r="AF4" s="7" t="s">
        <v>108</v>
      </c>
      <c r="AG4" s="7" t="s">
        <v>109</v>
      </c>
      <c r="AH4" s="7" t="s">
        <v>110</v>
      </c>
      <c r="AI4" s="7" t="s">
        <v>111</v>
      </c>
      <c r="AJ4" s="7" t="s">
        <v>112</v>
      </c>
      <c r="AK4" s="7" t="s">
        <v>113</v>
      </c>
      <c r="AL4" s="7" t="s">
        <v>114</v>
      </c>
      <c r="AM4" s="7" t="s">
        <v>115</v>
      </c>
      <c r="AN4" s="7" t="s">
        <v>116</v>
      </c>
      <c r="AO4" s="7" t="s">
        <v>117</v>
      </c>
      <c r="AP4" s="7" t="s">
        <v>118</v>
      </c>
      <c r="AQ4" s="7" t="s">
        <v>119</v>
      </c>
      <c r="AR4" s="7" t="s">
        <v>120</v>
      </c>
      <c r="AS4" s="7" t="s">
        <v>121</v>
      </c>
      <c r="AT4" s="7" t="s">
        <v>122</v>
      </c>
      <c r="AU4" s="7" t="s">
        <v>123</v>
      </c>
      <c r="AV4" s="7" t="s">
        <v>124</v>
      </c>
      <c r="AW4" s="7" t="s">
        <v>125</v>
      </c>
      <c r="AX4" s="7" t="s">
        <v>126</v>
      </c>
      <c r="AY4" s="7" t="s">
        <v>127</v>
      </c>
      <c r="AZ4" s="7" t="s">
        <v>128</v>
      </c>
      <c r="BA4" s="7" t="s">
        <v>129</v>
      </c>
      <c r="BB4" s="7" t="s">
        <v>130</v>
      </c>
      <c r="BC4" s="7" t="s">
        <v>131</v>
      </c>
      <c r="BD4" s="7" t="s">
        <v>132</v>
      </c>
      <c r="BE4" s="7" t="s">
        <v>133</v>
      </c>
      <c r="BF4" s="7" t="s">
        <v>134</v>
      </c>
      <c r="BG4" s="7" t="s">
        <v>135</v>
      </c>
      <c r="BH4" s="7" t="s">
        <v>136</v>
      </c>
      <c r="BI4" s="7" t="s">
        <v>137</v>
      </c>
      <c r="BJ4" s="7" t="s">
        <v>138</v>
      </c>
      <c r="BK4" s="7" t="s">
        <v>139</v>
      </c>
      <c r="BL4" s="7" t="s">
        <v>140</v>
      </c>
      <c r="BM4" s="7" t="s">
        <v>141</v>
      </c>
    </row>
    <row r="5" customFormat="false" ht="15" hidden="false" customHeight="false" outlineLevel="0" collapsed="false">
      <c r="A5" s="8" t="n">
        <f aca="false">Policías!A5</f>
        <v>101</v>
      </c>
      <c r="B5" s="9" t="str">
        <f aca="false">Policías!B5</f>
        <v>Francisca </v>
      </c>
      <c r="C5" s="9" t="str">
        <f aca="false">Policías!C5</f>
        <v>Inspectora</v>
      </c>
      <c r="D5" s="9" t="s">
        <v>9</v>
      </c>
      <c r="E5" s="10" t="s">
        <v>142</v>
      </c>
      <c r="F5" s="10" t="s">
        <v>142</v>
      </c>
      <c r="G5" s="10" t="s">
        <v>143</v>
      </c>
      <c r="H5" s="10" t="s">
        <v>143</v>
      </c>
      <c r="I5" s="10" t="s">
        <v>143</v>
      </c>
      <c r="J5" s="10" t="s">
        <v>143</v>
      </c>
      <c r="K5" s="11" t="s">
        <v>143</v>
      </c>
      <c r="L5" s="11" t="s">
        <v>142</v>
      </c>
      <c r="M5" s="11" t="s">
        <v>142</v>
      </c>
      <c r="N5" s="10" t="s">
        <v>143</v>
      </c>
      <c r="O5" s="10" t="s">
        <v>143</v>
      </c>
      <c r="P5" s="10" t="s">
        <v>143</v>
      </c>
      <c r="Q5" s="10" t="s">
        <v>143</v>
      </c>
      <c r="R5" s="10" t="s">
        <v>143</v>
      </c>
      <c r="S5" s="10" t="s">
        <v>142</v>
      </c>
      <c r="T5" s="11" t="s">
        <v>142</v>
      </c>
      <c r="U5" s="11" t="s">
        <v>143</v>
      </c>
      <c r="V5" s="11" t="s">
        <v>143</v>
      </c>
      <c r="W5" s="10" t="s">
        <v>143</v>
      </c>
      <c r="X5" s="10" t="s">
        <v>142</v>
      </c>
      <c r="Y5" s="10" t="s">
        <v>143</v>
      </c>
      <c r="Z5" s="10" t="s">
        <v>142</v>
      </c>
      <c r="AA5" s="10" t="s">
        <v>142</v>
      </c>
      <c r="AB5" s="10" t="s">
        <v>143</v>
      </c>
      <c r="AC5" s="11" t="s">
        <v>143</v>
      </c>
      <c r="AD5" s="11" t="s">
        <v>143</v>
      </c>
      <c r="AE5" s="11" t="s">
        <v>143</v>
      </c>
      <c r="AF5" s="10" t="s">
        <v>143</v>
      </c>
      <c r="AG5" s="10" t="s">
        <v>142</v>
      </c>
      <c r="AH5" s="10" t="s">
        <v>142</v>
      </c>
      <c r="AI5" s="10" t="s">
        <v>143</v>
      </c>
      <c r="AJ5" s="12" t="s">
        <v>143</v>
      </c>
      <c r="AK5" s="12" t="s">
        <v>143</v>
      </c>
      <c r="AL5" s="12" t="s">
        <v>143</v>
      </c>
      <c r="AM5" s="12" t="s">
        <v>143</v>
      </c>
      <c r="AN5" s="10" t="s">
        <v>142</v>
      </c>
      <c r="AO5" s="10" t="s">
        <v>142</v>
      </c>
      <c r="AP5" s="10" t="s">
        <v>143</v>
      </c>
      <c r="AQ5" s="12" t="s">
        <v>143</v>
      </c>
      <c r="AR5" s="12" t="s">
        <v>143</v>
      </c>
      <c r="AS5" s="12" t="s">
        <v>143</v>
      </c>
      <c r="AT5" s="12" t="s">
        <v>143</v>
      </c>
      <c r="AU5" s="10" t="s">
        <v>142</v>
      </c>
      <c r="AV5" s="10" t="s">
        <v>142</v>
      </c>
      <c r="AW5" s="10" t="s">
        <v>143</v>
      </c>
      <c r="AX5" s="12" t="s">
        <v>143</v>
      </c>
      <c r="AY5" s="12" t="s">
        <v>143</v>
      </c>
      <c r="AZ5" s="12" t="s">
        <v>143</v>
      </c>
      <c r="BA5" s="12" t="s">
        <v>143</v>
      </c>
      <c r="BB5" s="10" t="s">
        <v>142</v>
      </c>
      <c r="BC5" s="10" t="s">
        <v>142</v>
      </c>
      <c r="BD5" s="10" t="s">
        <v>143</v>
      </c>
      <c r="BE5" s="12" t="s">
        <v>143</v>
      </c>
      <c r="BF5" s="12" t="s">
        <v>143</v>
      </c>
      <c r="BG5" s="12" t="s">
        <v>143</v>
      </c>
      <c r="BH5" s="12" t="s">
        <v>143</v>
      </c>
      <c r="BI5" s="10" t="s">
        <v>142</v>
      </c>
      <c r="BJ5" s="10" t="s">
        <v>142</v>
      </c>
      <c r="BK5" s="10" t="s">
        <v>143</v>
      </c>
      <c r="BL5" s="12" t="s">
        <v>143</v>
      </c>
      <c r="BM5" s="12" t="s">
        <v>143</v>
      </c>
    </row>
    <row r="6" customFormat="false" ht="15" hidden="false" customHeight="false" outlineLevel="0" collapsed="false">
      <c r="A6" s="8" t="n">
        <f aca="false">Policías!A6</f>
        <v>102</v>
      </c>
      <c r="B6" s="9" t="str">
        <f aca="false">Policías!B6</f>
        <v>Manuel </v>
      </c>
      <c r="C6" s="9" t="str">
        <f aca="false">Policías!C6</f>
        <v>Subinspector</v>
      </c>
      <c r="D6" s="9" t="s">
        <v>9</v>
      </c>
      <c r="E6" s="10" t="s">
        <v>142</v>
      </c>
      <c r="F6" s="10" t="s">
        <v>142</v>
      </c>
      <c r="G6" s="10" t="s">
        <v>143</v>
      </c>
      <c r="H6" s="10" t="s">
        <v>143</v>
      </c>
      <c r="I6" s="10" t="s">
        <v>143</v>
      </c>
      <c r="J6" s="10" t="s">
        <v>143</v>
      </c>
      <c r="K6" s="11" t="s">
        <v>143</v>
      </c>
      <c r="L6" s="11" t="s">
        <v>142</v>
      </c>
      <c r="M6" s="11" t="s">
        <v>142</v>
      </c>
      <c r="N6" s="10" t="s">
        <v>143</v>
      </c>
      <c r="O6" s="10" t="s">
        <v>143</v>
      </c>
      <c r="P6" s="10" t="s">
        <v>143</v>
      </c>
      <c r="Q6" s="10" t="s">
        <v>143</v>
      </c>
      <c r="R6" s="10" t="s">
        <v>143</v>
      </c>
      <c r="S6" s="10" t="s">
        <v>142</v>
      </c>
      <c r="T6" s="11" t="s">
        <v>142</v>
      </c>
      <c r="U6" s="11" t="s">
        <v>143</v>
      </c>
      <c r="V6" s="11" t="s">
        <v>143</v>
      </c>
      <c r="W6" s="10" t="s">
        <v>143</v>
      </c>
      <c r="X6" s="10" t="s">
        <v>142</v>
      </c>
      <c r="Y6" s="10" t="s">
        <v>143</v>
      </c>
      <c r="Z6" s="10" t="s">
        <v>142</v>
      </c>
      <c r="AA6" s="10" t="s">
        <v>142</v>
      </c>
      <c r="AB6" s="10" t="s">
        <v>143</v>
      </c>
      <c r="AC6" s="11" t="s">
        <v>143</v>
      </c>
      <c r="AD6" s="11" t="s">
        <v>143</v>
      </c>
      <c r="AE6" s="11" t="s">
        <v>143</v>
      </c>
      <c r="AF6" s="10" t="s">
        <v>143</v>
      </c>
      <c r="AG6" s="10" t="s">
        <v>142</v>
      </c>
      <c r="AH6" s="10" t="s">
        <v>142</v>
      </c>
      <c r="AI6" s="10" t="s">
        <v>143</v>
      </c>
      <c r="AJ6" s="12" t="s">
        <v>143</v>
      </c>
      <c r="AK6" s="12" t="s">
        <v>143</v>
      </c>
      <c r="AL6" s="12" t="s">
        <v>143</v>
      </c>
      <c r="AM6" s="12" t="s">
        <v>143</v>
      </c>
      <c r="AN6" s="10" t="s">
        <v>142</v>
      </c>
      <c r="AO6" s="10" t="s">
        <v>142</v>
      </c>
      <c r="AP6" s="10" t="s">
        <v>143</v>
      </c>
      <c r="AQ6" s="12" t="s">
        <v>143</v>
      </c>
      <c r="AR6" s="12" t="s">
        <v>143</v>
      </c>
      <c r="AS6" s="12" t="s">
        <v>143</v>
      </c>
      <c r="AT6" s="12" t="s">
        <v>143</v>
      </c>
      <c r="AU6" s="10" t="s">
        <v>142</v>
      </c>
      <c r="AV6" s="10" t="s">
        <v>142</v>
      </c>
      <c r="AW6" s="10" t="s">
        <v>143</v>
      </c>
      <c r="AX6" s="12" t="s">
        <v>143</v>
      </c>
      <c r="AY6" s="12" t="s">
        <v>143</v>
      </c>
      <c r="AZ6" s="12" t="s">
        <v>143</v>
      </c>
      <c r="BA6" s="12" t="s">
        <v>143</v>
      </c>
      <c r="BB6" s="10" t="s">
        <v>142</v>
      </c>
      <c r="BC6" s="10" t="s">
        <v>142</v>
      </c>
      <c r="BD6" s="10" t="s">
        <v>143</v>
      </c>
      <c r="BE6" s="12" t="s">
        <v>143</v>
      </c>
      <c r="BF6" s="12" t="s">
        <v>143</v>
      </c>
      <c r="BG6" s="12" t="s">
        <v>143</v>
      </c>
      <c r="BH6" s="12" t="s">
        <v>143</v>
      </c>
      <c r="BI6" s="10" t="s">
        <v>142</v>
      </c>
      <c r="BJ6" s="10" t="s">
        <v>142</v>
      </c>
      <c r="BK6" s="10" t="s">
        <v>143</v>
      </c>
      <c r="BL6" s="12" t="s">
        <v>143</v>
      </c>
      <c r="BM6" s="12" t="s">
        <v>143</v>
      </c>
    </row>
    <row r="7" customFormat="false" ht="15" hidden="false" customHeight="false" outlineLevel="0" collapsed="false">
      <c r="A7" s="8" t="n">
        <f aca="false">Policías!A7</f>
        <v>103</v>
      </c>
      <c r="B7" s="9" t="str">
        <f aca="false">Policías!B7</f>
        <v>Juan</v>
      </c>
      <c r="C7" s="9" t="str">
        <f aca="false">Policías!C7</f>
        <v>Oficial Policía</v>
      </c>
      <c r="D7" s="9" t="s">
        <v>14</v>
      </c>
      <c r="E7" s="10" t="s">
        <v>142</v>
      </c>
      <c r="F7" s="10" t="s">
        <v>142</v>
      </c>
      <c r="G7" s="10" t="s">
        <v>143</v>
      </c>
      <c r="H7" s="10" t="s">
        <v>143</v>
      </c>
      <c r="I7" s="10" t="s">
        <v>143</v>
      </c>
      <c r="J7" s="10" t="s">
        <v>143</v>
      </c>
      <c r="K7" s="11" t="s">
        <v>143</v>
      </c>
      <c r="L7" s="11" t="s">
        <v>142</v>
      </c>
      <c r="M7" s="11" t="s">
        <v>142</v>
      </c>
      <c r="N7" s="10" t="s">
        <v>142</v>
      </c>
      <c r="O7" s="10" t="s">
        <v>142</v>
      </c>
      <c r="P7" s="10" t="s">
        <v>143</v>
      </c>
      <c r="Q7" s="10" t="s">
        <v>143</v>
      </c>
      <c r="R7" s="10" t="s">
        <v>143</v>
      </c>
      <c r="S7" s="10" t="s">
        <v>143</v>
      </c>
      <c r="T7" s="11" t="s">
        <v>143</v>
      </c>
      <c r="U7" s="11" t="s">
        <v>142</v>
      </c>
      <c r="V7" s="11" t="s">
        <v>142</v>
      </c>
      <c r="W7" s="10" t="s">
        <v>142</v>
      </c>
      <c r="X7" s="10" t="s">
        <v>142</v>
      </c>
      <c r="Y7" s="10" t="s">
        <v>143</v>
      </c>
      <c r="Z7" s="10" t="s">
        <v>143</v>
      </c>
      <c r="AA7" s="10" t="s">
        <v>143</v>
      </c>
      <c r="AB7" s="10" t="s">
        <v>143</v>
      </c>
      <c r="AC7" s="11" t="s">
        <v>143</v>
      </c>
      <c r="AD7" s="11" t="s">
        <v>142</v>
      </c>
      <c r="AE7" s="11" t="s">
        <v>142</v>
      </c>
      <c r="AF7" s="10" t="s">
        <v>142</v>
      </c>
      <c r="AG7" s="10" t="s">
        <v>142</v>
      </c>
      <c r="AH7" s="10" t="s">
        <v>143</v>
      </c>
      <c r="AI7" s="10" t="s">
        <v>143</v>
      </c>
      <c r="AJ7" s="12" t="s">
        <v>143</v>
      </c>
      <c r="AK7" s="12" t="s">
        <v>143</v>
      </c>
      <c r="AL7" s="12" t="s">
        <v>143</v>
      </c>
      <c r="AM7" s="12" t="s">
        <v>143</v>
      </c>
      <c r="AN7" s="10" t="s">
        <v>142</v>
      </c>
      <c r="AO7" s="10" t="s">
        <v>142</v>
      </c>
      <c r="AP7" s="10" t="s">
        <v>143</v>
      </c>
      <c r="AQ7" s="12" t="s">
        <v>143</v>
      </c>
      <c r="AR7" s="12" t="s">
        <v>143</v>
      </c>
      <c r="AS7" s="12" t="s">
        <v>143</v>
      </c>
      <c r="AT7" s="12" t="s">
        <v>143</v>
      </c>
      <c r="AU7" s="10" t="s">
        <v>142</v>
      </c>
      <c r="AV7" s="10" t="s">
        <v>142</v>
      </c>
      <c r="AW7" s="10" t="s">
        <v>143</v>
      </c>
      <c r="AX7" s="12" t="s">
        <v>143</v>
      </c>
      <c r="AY7" s="12" t="s">
        <v>143</v>
      </c>
      <c r="AZ7" s="12" t="s">
        <v>143</v>
      </c>
      <c r="BA7" s="12" t="s">
        <v>143</v>
      </c>
      <c r="BB7" s="10" t="s">
        <v>142</v>
      </c>
      <c r="BC7" s="10" t="s">
        <v>142</v>
      </c>
      <c r="BD7" s="10" t="s">
        <v>143</v>
      </c>
      <c r="BE7" s="12" t="s">
        <v>143</v>
      </c>
      <c r="BF7" s="12" t="s">
        <v>143</v>
      </c>
      <c r="BG7" s="12" t="s">
        <v>143</v>
      </c>
      <c r="BH7" s="12" t="s">
        <v>143</v>
      </c>
      <c r="BI7" s="10" t="s">
        <v>142</v>
      </c>
      <c r="BJ7" s="10" t="s">
        <v>142</v>
      </c>
      <c r="BK7" s="10" t="s">
        <v>143</v>
      </c>
      <c r="BL7" s="12" t="s">
        <v>143</v>
      </c>
      <c r="BM7" s="12" t="s">
        <v>143</v>
      </c>
    </row>
    <row r="8" customFormat="false" ht="15" hidden="false" customHeight="false" outlineLevel="0" collapsed="false">
      <c r="A8" s="8" t="n">
        <f aca="false">Policías!A8</f>
        <v>104</v>
      </c>
      <c r="B8" s="9" t="str">
        <f aca="false">Policías!B8</f>
        <v>Diego</v>
      </c>
      <c r="C8" s="9" t="str">
        <f aca="false">Policías!C8</f>
        <v>Oficial Policía</v>
      </c>
      <c r="D8" s="9"/>
      <c r="E8" s="13" t="s">
        <v>144</v>
      </c>
      <c r="F8" s="13" t="s">
        <v>144</v>
      </c>
      <c r="G8" s="13" t="s">
        <v>144</v>
      </c>
      <c r="H8" s="13" t="s">
        <v>144</v>
      </c>
      <c r="I8" s="13" t="s">
        <v>144</v>
      </c>
      <c r="J8" s="13" t="s">
        <v>144</v>
      </c>
      <c r="K8" s="13" t="s">
        <v>144</v>
      </c>
      <c r="L8" s="13" t="s">
        <v>144</v>
      </c>
      <c r="M8" s="13" t="s">
        <v>144</v>
      </c>
      <c r="N8" s="13" t="s">
        <v>144</v>
      </c>
      <c r="O8" s="13" t="s">
        <v>144</v>
      </c>
      <c r="P8" s="13" t="s">
        <v>144</v>
      </c>
      <c r="Q8" s="13" t="s">
        <v>144</v>
      </c>
      <c r="R8" s="13" t="s">
        <v>144</v>
      </c>
      <c r="S8" s="13" t="s">
        <v>144</v>
      </c>
      <c r="T8" s="13" t="s">
        <v>144</v>
      </c>
      <c r="U8" s="13" t="s">
        <v>144</v>
      </c>
      <c r="V8" s="13" t="s">
        <v>144</v>
      </c>
      <c r="W8" s="13" t="s">
        <v>144</v>
      </c>
      <c r="X8" s="13" t="s">
        <v>144</v>
      </c>
      <c r="Y8" s="13" t="s">
        <v>144</v>
      </c>
      <c r="Z8" s="13" t="s">
        <v>144</v>
      </c>
      <c r="AA8" s="13" t="s">
        <v>144</v>
      </c>
      <c r="AB8" s="13" t="s">
        <v>144</v>
      </c>
      <c r="AC8" s="13" t="s">
        <v>144</v>
      </c>
      <c r="AD8" s="13" t="s">
        <v>144</v>
      </c>
      <c r="AE8" s="13" t="s">
        <v>144</v>
      </c>
      <c r="AF8" s="13" t="s">
        <v>144</v>
      </c>
      <c r="AG8" s="13" t="s">
        <v>144</v>
      </c>
      <c r="AH8" s="13" t="s">
        <v>144</v>
      </c>
      <c r="AI8" s="13" t="s">
        <v>144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</row>
    <row r="9" customFormat="false" ht="15" hidden="false" customHeight="false" outlineLevel="0" collapsed="false">
      <c r="A9" s="8" t="n">
        <f aca="false">Policías!A9</f>
        <v>105</v>
      </c>
      <c r="B9" s="9" t="str">
        <f aca="false">Policías!B9</f>
        <v>Adrián</v>
      </c>
      <c r="C9" s="9" t="str">
        <f aca="false">Policías!C9</f>
        <v>Oficial Policía</v>
      </c>
      <c r="D9" s="9" t="s">
        <v>17</v>
      </c>
      <c r="E9" s="11" t="s">
        <v>142</v>
      </c>
      <c r="F9" s="11" t="s">
        <v>142</v>
      </c>
      <c r="G9" s="11" t="s">
        <v>143</v>
      </c>
      <c r="H9" s="11" t="s">
        <v>143</v>
      </c>
      <c r="I9" s="11" t="s">
        <v>145</v>
      </c>
      <c r="J9" s="11" t="s">
        <v>145</v>
      </c>
      <c r="K9" s="11" t="s">
        <v>146</v>
      </c>
      <c r="L9" s="10" t="s">
        <v>146</v>
      </c>
      <c r="M9" s="10" t="s">
        <v>142</v>
      </c>
      <c r="N9" s="10" t="s">
        <v>142</v>
      </c>
      <c r="O9" s="10" t="s">
        <v>142</v>
      </c>
      <c r="P9" s="10" t="s">
        <v>142</v>
      </c>
      <c r="Q9" s="10" t="s">
        <v>142</v>
      </c>
      <c r="R9" s="11" t="s">
        <v>142</v>
      </c>
      <c r="S9" s="11" t="s">
        <v>142</v>
      </c>
      <c r="T9" s="11" t="s">
        <v>142</v>
      </c>
      <c r="U9" s="11" t="s">
        <v>143</v>
      </c>
      <c r="V9" s="11" t="s">
        <v>143</v>
      </c>
      <c r="W9" s="11" t="s">
        <v>145</v>
      </c>
      <c r="X9" s="11" t="s">
        <v>145</v>
      </c>
      <c r="Y9" s="11" t="s">
        <v>146</v>
      </c>
      <c r="Z9" s="10" t="s">
        <v>146</v>
      </c>
      <c r="AA9" s="10" t="s">
        <v>142</v>
      </c>
      <c r="AB9" s="10" t="s">
        <v>142</v>
      </c>
      <c r="AC9" s="10" t="s">
        <v>142</v>
      </c>
      <c r="AD9" s="10" t="s">
        <v>142</v>
      </c>
      <c r="AE9" s="10" t="s">
        <v>142</v>
      </c>
      <c r="AF9" s="11" t="s">
        <v>142</v>
      </c>
      <c r="AG9" s="11" t="s">
        <v>143</v>
      </c>
      <c r="AH9" s="10" t="s">
        <v>143</v>
      </c>
      <c r="AI9" s="10" t="s">
        <v>145</v>
      </c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</row>
    <row r="10" customFormat="false" ht="15" hidden="false" customHeight="false" outlineLevel="0" collapsed="false">
      <c r="A10" s="8" t="n">
        <f aca="false">Policías!A10</f>
        <v>106</v>
      </c>
      <c r="B10" s="9" t="str">
        <f aca="false">Policías!B10</f>
        <v>Juan Rafael </v>
      </c>
      <c r="C10" s="9" t="str">
        <f aca="false">Policías!C10</f>
        <v>Oficial Policía</v>
      </c>
      <c r="D10" s="9" t="s">
        <v>19</v>
      </c>
      <c r="E10" s="10" t="s">
        <v>143</v>
      </c>
      <c r="F10" s="11" t="s">
        <v>143</v>
      </c>
      <c r="G10" s="11" t="s">
        <v>145</v>
      </c>
      <c r="H10" s="11" t="s">
        <v>145</v>
      </c>
      <c r="I10" s="11" t="s">
        <v>146</v>
      </c>
      <c r="J10" s="11" t="s">
        <v>146</v>
      </c>
      <c r="K10" s="10" t="s">
        <v>142</v>
      </c>
      <c r="L10" s="10" t="s">
        <v>142</v>
      </c>
      <c r="M10" s="10" t="s">
        <v>142</v>
      </c>
      <c r="N10" s="10" t="s">
        <v>142</v>
      </c>
      <c r="O10" s="10" t="s">
        <v>142</v>
      </c>
      <c r="P10" s="10" t="s">
        <v>142</v>
      </c>
      <c r="Q10" s="11" t="s">
        <v>143</v>
      </c>
      <c r="R10" s="11" t="s">
        <v>143</v>
      </c>
      <c r="S10" s="11" t="s">
        <v>145</v>
      </c>
      <c r="T10" s="11" t="s">
        <v>145</v>
      </c>
      <c r="U10" s="11" t="s">
        <v>146</v>
      </c>
      <c r="V10" s="10" t="s">
        <v>146</v>
      </c>
      <c r="W10" s="10" t="s">
        <v>142</v>
      </c>
      <c r="X10" s="10" t="s">
        <v>142</v>
      </c>
      <c r="Y10" s="10" t="s">
        <v>142</v>
      </c>
      <c r="Z10" s="10" t="s">
        <v>142</v>
      </c>
      <c r="AA10" s="10" t="s">
        <v>142</v>
      </c>
      <c r="AB10" s="11" t="s">
        <v>142</v>
      </c>
      <c r="AC10" s="11" t="s">
        <v>143</v>
      </c>
      <c r="AD10" s="11" t="s">
        <v>143</v>
      </c>
      <c r="AE10" s="11" t="s">
        <v>145</v>
      </c>
      <c r="AF10" s="11" t="s">
        <v>145</v>
      </c>
      <c r="AG10" s="10" t="s">
        <v>146</v>
      </c>
      <c r="AH10" s="10" t="s">
        <v>146</v>
      </c>
      <c r="AI10" s="10" t="s">
        <v>142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</row>
    <row r="11" customFormat="false" ht="15" hidden="false" customHeight="false" outlineLevel="0" collapsed="false">
      <c r="A11" s="8" t="n">
        <f aca="false">Policías!A11</f>
        <v>107</v>
      </c>
      <c r="B11" s="9" t="str">
        <f aca="false">Policías!B11</f>
        <v>Matías </v>
      </c>
      <c r="C11" s="9" t="str">
        <f aca="false">Policías!C11</f>
        <v>Oficial Policía</v>
      </c>
      <c r="D11" s="9" t="s">
        <v>21</v>
      </c>
      <c r="E11" s="11" t="s">
        <v>142</v>
      </c>
      <c r="F11" s="11" t="s">
        <v>142</v>
      </c>
      <c r="G11" s="11" t="s">
        <v>142</v>
      </c>
      <c r="H11" s="11" t="s">
        <v>142</v>
      </c>
      <c r="I11" s="11" t="s">
        <v>143</v>
      </c>
      <c r="J11" s="10" t="s">
        <v>143</v>
      </c>
      <c r="K11" s="10" t="s">
        <v>145</v>
      </c>
      <c r="L11" s="10" t="s">
        <v>145</v>
      </c>
      <c r="M11" s="10" t="s">
        <v>146</v>
      </c>
      <c r="N11" s="10" t="s">
        <v>146</v>
      </c>
      <c r="O11" s="10" t="s">
        <v>142</v>
      </c>
      <c r="P11" s="11" t="s">
        <v>142</v>
      </c>
      <c r="Q11" s="11" t="s">
        <v>142</v>
      </c>
      <c r="R11" s="11" t="s">
        <v>142</v>
      </c>
      <c r="S11" s="11" t="s">
        <v>142</v>
      </c>
      <c r="T11" s="11" t="s">
        <v>142</v>
      </c>
      <c r="U11" s="10" t="s">
        <v>143</v>
      </c>
      <c r="V11" s="10" t="s">
        <v>143</v>
      </c>
      <c r="W11" s="10" t="s">
        <v>145</v>
      </c>
      <c r="X11" s="10" t="s">
        <v>145</v>
      </c>
      <c r="Y11" s="10" t="s">
        <v>146</v>
      </c>
      <c r="Z11" s="10" t="s">
        <v>146</v>
      </c>
      <c r="AA11" s="11" t="s">
        <v>142</v>
      </c>
      <c r="AB11" s="11" t="s">
        <v>142</v>
      </c>
      <c r="AC11" s="11" t="s">
        <v>142</v>
      </c>
      <c r="AD11" s="11" t="s">
        <v>142</v>
      </c>
      <c r="AE11" s="11" t="s">
        <v>142</v>
      </c>
      <c r="AF11" s="10" t="s">
        <v>142</v>
      </c>
      <c r="AG11" s="10" t="s">
        <v>143</v>
      </c>
      <c r="AH11" s="10" t="s">
        <v>143</v>
      </c>
      <c r="AI11" s="10" t="s">
        <v>145</v>
      </c>
      <c r="AJ11" s="12" t="s">
        <v>145</v>
      </c>
      <c r="AK11" s="12" t="s">
        <v>146</v>
      </c>
      <c r="AL11" s="12" t="s">
        <v>146</v>
      </c>
      <c r="AM11" s="11" t="s">
        <v>142</v>
      </c>
      <c r="AN11" s="11" t="s">
        <v>142</v>
      </c>
      <c r="AO11" s="11" t="s">
        <v>142</v>
      </c>
      <c r="AP11" s="11" t="s">
        <v>142</v>
      </c>
      <c r="AQ11" s="11" t="s">
        <v>142</v>
      </c>
      <c r="AR11" s="10" t="s">
        <v>142</v>
      </c>
      <c r="AS11" s="10" t="s">
        <v>143</v>
      </c>
      <c r="AT11" s="10" t="s">
        <v>143</v>
      </c>
      <c r="AU11" s="10" t="s">
        <v>145</v>
      </c>
      <c r="AV11" s="12" t="s">
        <v>145</v>
      </c>
      <c r="AW11" s="12" t="s">
        <v>146</v>
      </c>
      <c r="AX11" s="12" t="s">
        <v>146</v>
      </c>
      <c r="AY11" s="11" t="s">
        <v>142</v>
      </c>
      <c r="AZ11" s="11" t="s">
        <v>142</v>
      </c>
      <c r="BA11" s="11" t="s">
        <v>142</v>
      </c>
      <c r="BB11" s="11" t="s">
        <v>142</v>
      </c>
      <c r="BC11" s="11" t="s">
        <v>142</v>
      </c>
      <c r="BD11" s="10" t="s">
        <v>142</v>
      </c>
      <c r="BE11" s="10" t="s">
        <v>143</v>
      </c>
      <c r="BF11" s="10" t="s">
        <v>143</v>
      </c>
      <c r="BG11" s="10" t="s">
        <v>145</v>
      </c>
      <c r="BH11" s="12" t="s">
        <v>145</v>
      </c>
      <c r="BI11" s="12" t="s">
        <v>146</v>
      </c>
      <c r="BJ11" s="12" t="s">
        <v>146</v>
      </c>
      <c r="BK11" s="11" t="s">
        <v>142</v>
      </c>
      <c r="BL11" s="11" t="s">
        <v>142</v>
      </c>
      <c r="BM11" s="11" t="s">
        <v>142</v>
      </c>
    </row>
    <row r="12" customFormat="false" ht="15" hidden="false" customHeight="false" outlineLevel="0" collapsed="false">
      <c r="A12" s="8" t="n">
        <f aca="false">Policías!A12</f>
        <v>108</v>
      </c>
      <c r="B12" s="9" t="str">
        <f aca="false">Policías!B12</f>
        <v>Manuel 2</v>
      </c>
      <c r="C12" s="9" t="str">
        <f aca="false">Policías!C12</f>
        <v>Oficial Policía</v>
      </c>
      <c r="D12" s="9" t="s">
        <v>23</v>
      </c>
      <c r="E12" s="11" t="s">
        <v>142</v>
      </c>
      <c r="F12" s="11" t="s">
        <v>142</v>
      </c>
      <c r="G12" s="11" t="s">
        <v>142</v>
      </c>
      <c r="H12" s="11" t="s">
        <v>142</v>
      </c>
      <c r="I12" s="10" t="s">
        <v>142</v>
      </c>
      <c r="J12" s="10" t="s">
        <v>142</v>
      </c>
      <c r="K12" s="10" t="s">
        <v>143</v>
      </c>
      <c r="L12" s="10" t="s">
        <v>143</v>
      </c>
      <c r="M12" s="10" t="s">
        <v>145</v>
      </c>
      <c r="N12" s="10" t="s">
        <v>145</v>
      </c>
      <c r="O12" s="11" t="s">
        <v>146</v>
      </c>
      <c r="P12" s="11" t="s">
        <v>146</v>
      </c>
      <c r="Q12" s="11" t="s">
        <v>142</v>
      </c>
      <c r="R12" s="11" t="s">
        <v>142</v>
      </c>
      <c r="S12" s="11" t="s">
        <v>142</v>
      </c>
      <c r="T12" s="10" t="s">
        <v>142</v>
      </c>
      <c r="U12" s="10" t="s">
        <v>142</v>
      </c>
      <c r="V12" s="10" t="s">
        <v>142</v>
      </c>
      <c r="W12" s="10" t="s">
        <v>143</v>
      </c>
      <c r="X12" s="10" t="s">
        <v>143</v>
      </c>
      <c r="Y12" s="10" t="s">
        <v>145</v>
      </c>
      <c r="Z12" s="11" t="s">
        <v>145</v>
      </c>
      <c r="AA12" s="11" t="s">
        <v>146</v>
      </c>
      <c r="AB12" s="11" t="s">
        <v>146</v>
      </c>
      <c r="AC12" s="11" t="s">
        <v>142</v>
      </c>
      <c r="AD12" s="11" t="s">
        <v>142</v>
      </c>
      <c r="AE12" s="10" t="s">
        <v>142</v>
      </c>
      <c r="AF12" s="10" t="s">
        <v>142</v>
      </c>
      <c r="AG12" s="10" t="s">
        <v>142</v>
      </c>
      <c r="AH12" s="10" t="s">
        <v>142</v>
      </c>
      <c r="AI12" s="10" t="s">
        <v>143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</row>
    <row r="13" customFormat="false" ht="15" hidden="false" customHeight="false" outlineLevel="0" collapsed="false">
      <c r="A13" s="8" t="n">
        <f aca="false">Policías!A13</f>
        <v>109</v>
      </c>
      <c r="B13" s="9" t="str">
        <f aca="false">Policías!B13</f>
        <v>Manuel 3</v>
      </c>
      <c r="C13" s="9" t="str">
        <f aca="false">Policías!C13</f>
        <v>Oficial Policía Organizativo</v>
      </c>
      <c r="D13" s="9" t="s">
        <v>9</v>
      </c>
      <c r="E13" s="10" t="s">
        <v>142</v>
      </c>
      <c r="F13" s="10" t="s">
        <v>142</v>
      </c>
      <c r="G13" s="10" t="s">
        <v>143</v>
      </c>
      <c r="H13" s="10" t="s">
        <v>143</v>
      </c>
      <c r="I13" s="10" t="s">
        <v>143</v>
      </c>
      <c r="J13" s="10" t="s">
        <v>143</v>
      </c>
      <c r="K13" s="11" t="s">
        <v>143</v>
      </c>
      <c r="L13" s="11" t="s">
        <v>142</v>
      </c>
      <c r="M13" s="11" t="s">
        <v>142</v>
      </c>
      <c r="N13" s="10" t="s">
        <v>143</v>
      </c>
      <c r="O13" s="10" t="s">
        <v>143</v>
      </c>
      <c r="P13" s="10" t="s">
        <v>143</v>
      </c>
      <c r="Q13" s="10" t="s">
        <v>143</v>
      </c>
      <c r="R13" s="10" t="s">
        <v>143</v>
      </c>
      <c r="S13" s="10" t="s">
        <v>142</v>
      </c>
      <c r="T13" s="11" t="s">
        <v>142</v>
      </c>
      <c r="U13" s="11" t="s">
        <v>143</v>
      </c>
      <c r="V13" s="11" t="s">
        <v>143</v>
      </c>
      <c r="W13" s="10" t="s">
        <v>143</v>
      </c>
      <c r="X13" s="10" t="s">
        <v>142</v>
      </c>
      <c r="Y13" s="10" t="s">
        <v>143</v>
      </c>
      <c r="Z13" s="10" t="s">
        <v>142</v>
      </c>
      <c r="AA13" s="10" t="s">
        <v>142</v>
      </c>
      <c r="AB13" s="10" t="s">
        <v>143</v>
      </c>
      <c r="AC13" s="11" t="s">
        <v>143</v>
      </c>
      <c r="AD13" s="11" t="s">
        <v>143</v>
      </c>
      <c r="AE13" s="11" t="s">
        <v>143</v>
      </c>
      <c r="AF13" s="10" t="s">
        <v>143</v>
      </c>
      <c r="AG13" s="10" t="s">
        <v>142</v>
      </c>
      <c r="AH13" s="10" t="s">
        <v>142</v>
      </c>
      <c r="AI13" s="10" t="s">
        <v>143</v>
      </c>
      <c r="AJ13" s="12" t="s">
        <v>143</v>
      </c>
      <c r="AK13" s="12" t="s">
        <v>143</v>
      </c>
      <c r="AL13" s="12" t="s">
        <v>143</v>
      </c>
      <c r="AM13" s="12" t="s">
        <v>143</v>
      </c>
      <c r="AN13" s="10" t="s">
        <v>142</v>
      </c>
      <c r="AO13" s="10" t="s">
        <v>142</v>
      </c>
      <c r="AP13" s="10" t="s">
        <v>143</v>
      </c>
      <c r="AQ13" s="12" t="s">
        <v>143</v>
      </c>
      <c r="AR13" s="12" t="s">
        <v>143</v>
      </c>
      <c r="AS13" s="12" t="s">
        <v>143</v>
      </c>
      <c r="AT13" s="12" t="s">
        <v>143</v>
      </c>
      <c r="AU13" s="10" t="s">
        <v>142</v>
      </c>
      <c r="AV13" s="10" t="s">
        <v>142</v>
      </c>
      <c r="AW13" s="10" t="s">
        <v>143</v>
      </c>
      <c r="AX13" s="12" t="s">
        <v>143</v>
      </c>
      <c r="AY13" s="12" t="s">
        <v>143</v>
      </c>
      <c r="AZ13" s="12" t="s">
        <v>143</v>
      </c>
      <c r="BA13" s="12" t="s">
        <v>143</v>
      </c>
      <c r="BB13" s="10" t="s">
        <v>142</v>
      </c>
      <c r="BC13" s="10" t="s">
        <v>142</v>
      </c>
      <c r="BD13" s="10" t="s">
        <v>143</v>
      </c>
      <c r="BE13" s="12" t="s">
        <v>143</v>
      </c>
      <c r="BF13" s="12" t="s">
        <v>143</v>
      </c>
      <c r="BG13" s="12" t="s">
        <v>143</v>
      </c>
      <c r="BH13" s="12" t="s">
        <v>143</v>
      </c>
      <c r="BI13" s="10" t="s">
        <v>142</v>
      </c>
      <c r="BJ13" s="10" t="s">
        <v>142</v>
      </c>
      <c r="BK13" s="10" t="s">
        <v>143</v>
      </c>
      <c r="BL13" s="12" t="s">
        <v>143</v>
      </c>
      <c r="BM13" s="12" t="s">
        <v>143</v>
      </c>
    </row>
    <row r="14" customFormat="false" ht="15" hidden="false" customHeight="false" outlineLevel="0" collapsed="false">
      <c r="A14" s="8" t="n">
        <f aca="false">Policías!A14</f>
        <v>110</v>
      </c>
      <c r="B14" s="9" t="str">
        <f aca="false">Policías!B14</f>
        <v>Julián </v>
      </c>
      <c r="C14" s="9" t="str">
        <f aca="false">Policías!C14</f>
        <v>Policía</v>
      </c>
      <c r="D14" s="9" t="s">
        <v>9</v>
      </c>
      <c r="E14" s="10" t="s">
        <v>142</v>
      </c>
      <c r="F14" s="10" t="s">
        <v>142</v>
      </c>
      <c r="G14" s="10" t="s">
        <v>143</v>
      </c>
      <c r="H14" s="10" t="s">
        <v>143</v>
      </c>
      <c r="I14" s="10" t="s">
        <v>143</v>
      </c>
      <c r="J14" s="10" t="s">
        <v>143</v>
      </c>
      <c r="K14" s="11" t="s">
        <v>143</v>
      </c>
      <c r="L14" s="11" t="s">
        <v>142</v>
      </c>
      <c r="M14" s="11" t="s">
        <v>142</v>
      </c>
      <c r="N14" s="10" t="s">
        <v>143</v>
      </c>
      <c r="O14" s="10" t="s">
        <v>143</v>
      </c>
      <c r="P14" s="10" t="s">
        <v>143</v>
      </c>
      <c r="Q14" s="10" t="s">
        <v>143</v>
      </c>
      <c r="R14" s="10" t="s">
        <v>143</v>
      </c>
      <c r="S14" s="10" t="s">
        <v>142</v>
      </c>
      <c r="T14" s="11" t="s">
        <v>142</v>
      </c>
      <c r="U14" s="11" t="s">
        <v>143</v>
      </c>
      <c r="V14" s="11" t="s">
        <v>143</v>
      </c>
      <c r="W14" s="10" t="s">
        <v>143</v>
      </c>
      <c r="X14" s="10" t="s">
        <v>142</v>
      </c>
      <c r="Y14" s="10" t="s">
        <v>143</v>
      </c>
      <c r="Z14" s="10" t="s">
        <v>142</v>
      </c>
      <c r="AA14" s="10" t="s">
        <v>142</v>
      </c>
      <c r="AB14" s="10" t="s">
        <v>143</v>
      </c>
      <c r="AC14" s="11" t="s">
        <v>143</v>
      </c>
      <c r="AD14" s="11" t="s">
        <v>143</v>
      </c>
      <c r="AE14" s="11" t="s">
        <v>143</v>
      </c>
      <c r="AF14" s="10" t="s">
        <v>143</v>
      </c>
      <c r="AG14" s="10" t="s">
        <v>142</v>
      </c>
      <c r="AH14" s="10" t="s">
        <v>142</v>
      </c>
      <c r="AI14" s="10" t="s">
        <v>143</v>
      </c>
      <c r="AJ14" s="12" t="s">
        <v>143</v>
      </c>
      <c r="AK14" s="12" t="s">
        <v>143</v>
      </c>
      <c r="AL14" s="12" t="s">
        <v>143</v>
      </c>
      <c r="AM14" s="12" t="s">
        <v>143</v>
      </c>
      <c r="AN14" s="10" t="s">
        <v>142</v>
      </c>
      <c r="AO14" s="10" t="s">
        <v>142</v>
      </c>
      <c r="AP14" s="10" t="s">
        <v>143</v>
      </c>
      <c r="AQ14" s="12" t="s">
        <v>143</v>
      </c>
      <c r="AR14" s="12" t="s">
        <v>143</v>
      </c>
      <c r="AS14" s="12" t="s">
        <v>143</v>
      </c>
      <c r="AT14" s="12" t="s">
        <v>143</v>
      </c>
      <c r="AU14" s="10" t="s">
        <v>142</v>
      </c>
      <c r="AV14" s="10" t="s">
        <v>142</v>
      </c>
      <c r="AW14" s="10" t="s">
        <v>143</v>
      </c>
      <c r="AX14" s="12" t="s">
        <v>143</v>
      </c>
      <c r="AY14" s="12" t="s">
        <v>143</v>
      </c>
      <c r="AZ14" s="12" t="s">
        <v>143</v>
      </c>
      <c r="BA14" s="12" t="s">
        <v>143</v>
      </c>
      <c r="BB14" s="10" t="s">
        <v>142</v>
      </c>
      <c r="BC14" s="10" t="s">
        <v>142</v>
      </c>
      <c r="BD14" s="10" t="s">
        <v>143</v>
      </c>
      <c r="BE14" s="12" t="s">
        <v>143</v>
      </c>
      <c r="BF14" s="12" t="s">
        <v>143</v>
      </c>
      <c r="BG14" s="12" t="s">
        <v>143</v>
      </c>
      <c r="BH14" s="12" t="s">
        <v>143</v>
      </c>
      <c r="BI14" s="10" t="s">
        <v>142</v>
      </c>
      <c r="BJ14" s="10" t="s">
        <v>142</v>
      </c>
      <c r="BK14" s="10" t="s">
        <v>143</v>
      </c>
      <c r="BL14" s="12" t="s">
        <v>143</v>
      </c>
      <c r="BM14" s="12" t="s">
        <v>143</v>
      </c>
    </row>
    <row r="15" customFormat="false" ht="15" hidden="false" customHeight="false" outlineLevel="0" collapsed="false">
      <c r="A15" s="8" t="n">
        <f aca="false">Policías!A15</f>
        <v>111</v>
      </c>
      <c r="B15" s="9" t="str">
        <f aca="false">Policías!B15</f>
        <v>Rocío </v>
      </c>
      <c r="C15" s="9" t="str">
        <f aca="false">Policías!C15</f>
        <v>Policía</v>
      </c>
      <c r="D15" s="9" t="s">
        <v>14</v>
      </c>
      <c r="E15" s="10" t="s">
        <v>142</v>
      </c>
      <c r="F15" s="10" t="s">
        <v>142</v>
      </c>
      <c r="G15" s="10" t="s">
        <v>143</v>
      </c>
      <c r="H15" s="10" t="s">
        <v>143</v>
      </c>
      <c r="I15" s="10" t="s">
        <v>143</v>
      </c>
      <c r="J15" s="10" t="s">
        <v>143</v>
      </c>
      <c r="K15" s="11" t="s">
        <v>143</v>
      </c>
      <c r="L15" s="11" t="s">
        <v>142</v>
      </c>
      <c r="M15" s="11" t="s">
        <v>142</v>
      </c>
      <c r="N15" s="10" t="s">
        <v>142</v>
      </c>
      <c r="O15" s="10" t="s">
        <v>142</v>
      </c>
      <c r="P15" s="10" t="s">
        <v>143</v>
      </c>
      <c r="Q15" s="10" t="s">
        <v>143</v>
      </c>
      <c r="R15" s="10" t="s">
        <v>143</v>
      </c>
      <c r="S15" s="10" t="s">
        <v>143</v>
      </c>
      <c r="T15" s="11" t="s">
        <v>143</v>
      </c>
      <c r="U15" s="11" t="s">
        <v>142</v>
      </c>
      <c r="V15" s="11" t="s">
        <v>142</v>
      </c>
      <c r="W15" s="10" t="s">
        <v>142</v>
      </c>
      <c r="X15" s="10" t="s">
        <v>142</v>
      </c>
      <c r="Y15" s="10" t="s">
        <v>143</v>
      </c>
      <c r="Z15" s="10" t="s">
        <v>143</v>
      </c>
      <c r="AA15" s="10" t="s">
        <v>143</v>
      </c>
      <c r="AB15" s="10" t="s">
        <v>143</v>
      </c>
      <c r="AC15" s="11" t="s">
        <v>143</v>
      </c>
      <c r="AD15" s="11" t="s">
        <v>142</v>
      </c>
      <c r="AE15" s="11" t="s">
        <v>142</v>
      </c>
      <c r="AF15" s="10" t="s">
        <v>142</v>
      </c>
      <c r="AG15" s="10" t="s">
        <v>142</v>
      </c>
      <c r="AH15" s="10" t="s">
        <v>143</v>
      </c>
      <c r="AI15" s="10" t="s">
        <v>143</v>
      </c>
      <c r="AJ15" s="12" t="s">
        <v>143</v>
      </c>
      <c r="AK15" s="12" t="s">
        <v>143</v>
      </c>
      <c r="AL15" s="12" t="s">
        <v>143</v>
      </c>
      <c r="AM15" s="12" t="s">
        <v>143</v>
      </c>
      <c r="AN15" s="10" t="s">
        <v>142</v>
      </c>
      <c r="AO15" s="10" t="s">
        <v>142</v>
      </c>
      <c r="AP15" s="10" t="s">
        <v>143</v>
      </c>
      <c r="AQ15" s="12" t="s">
        <v>143</v>
      </c>
      <c r="AR15" s="12" t="s">
        <v>143</v>
      </c>
      <c r="AS15" s="12" t="s">
        <v>143</v>
      </c>
      <c r="AT15" s="12" t="s">
        <v>143</v>
      </c>
      <c r="AU15" s="10" t="s">
        <v>142</v>
      </c>
      <c r="AV15" s="10" t="s">
        <v>142</v>
      </c>
      <c r="AW15" s="10" t="s">
        <v>143</v>
      </c>
      <c r="AX15" s="12" t="s">
        <v>143</v>
      </c>
      <c r="AY15" s="12" t="s">
        <v>143</v>
      </c>
      <c r="AZ15" s="12" t="s">
        <v>143</v>
      </c>
      <c r="BA15" s="12" t="s">
        <v>143</v>
      </c>
      <c r="BB15" s="10" t="s">
        <v>142</v>
      </c>
      <c r="BC15" s="10" t="s">
        <v>142</v>
      </c>
      <c r="BD15" s="10" t="s">
        <v>143</v>
      </c>
      <c r="BE15" s="12" t="s">
        <v>143</v>
      </c>
      <c r="BF15" s="12" t="s">
        <v>143</v>
      </c>
      <c r="BG15" s="12" t="s">
        <v>143</v>
      </c>
      <c r="BH15" s="12" t="s">
        <v>143</v>
      </c>
      <c r="BI15" s="10" t="s">
        <v>142</v>
      </c>
      <c r="BJ15" s="10" t="s">
        <v>142</v>
      </c>
      <c r="BK15" s="10" t="s">
        <v>143</v>
      </c>
      <c r="BL15" s="12" t="s">
        <v>143</v>
      </c>
      <c r="BM15" s="12" t="s">
        <v>143</v>
      </c>
    </row>
    <row r="16" customFormat="false" ht="15" hidden="false" customHeight="false" outlineLevel="0" collapsed="false">
      <c r="A16" s="8" t="n">
        <f aca="false">Policías!A16</f>
        <v>112</v>
      </c>
      <c r="B16" s="9" t="str">
        <f aca="false">Policías!B16</f>
        <v>Juan Jesús </v>
      </c>
      <c r="C16" s="9" t="str">
        <f aca="false">Policías!C16</f>
        <v>Policía</v>
      </c>
      <c r="D16" s="9" t="s">
        <v>23</v>
      </c>
      <c r="E16" s="11" t="s">
        <v>142</v>
      </c>
      <c r="F16" s="11" t="s">
        <v>142</v>
      </c>
      <c r="G16" s="11" t="s">
        <v>142</v>
      </c>
      <c r="H16" s="11" t="s">
        <v>142</v>
      </c>
      <c r="I16" s="10" t="s">
        <v>142</v>
      </c>
      <c r="J16" s="10" t="s">
        <v>142</v>
      </c>
      <c r="K16" s="10" t="s">
        <v>143</v>
      </c>
      <c r="L16" s="10" t="s">
        <v>143</v>
      </c>
      <c r="M16" s="10" t="s">
        <v>145</v>
      </c>
      <c r="N16" s="10" t="s">
        <v>145</v>
      </c>
      <c r="O16" s="11" t="s">
        <v>146</v>
      </c>
      <c r="P16" s="11" t="s">
        <v>146</v>
      </c>
      <c r="Q16" s="11" t="s">
        <v>142</v>
      </c>
      <c r="R16" s="11" t="s">
        <v>142</v>
      </c>
      <c r="S16" s="11" t="s">
        <v>142</v>
      </c>
      <c r="T16" s="10" t="s">
        <v>142</v>
      </c>
      <c r="U16" s="10" t="s">
        <v>142</v>
      </c>
      <c r="V16" s="10" t="s">
        <v>142</v>
      </c>
      <c r="W16" s="10" t="s">
        <v>143</v>
      </c>
      <c r="X16" s="10" t="s">
        <v>143</v>
      </c>
      <c r="Y16" s="10" t="s">
        <v>145</v>
      </c>
      <c r="Z16" s="11" t="s">
        <v>145</v>
      </c>
      <c r="AA16" s="11" t="s">
        <v>146</v>
      </c>
      <c r="AB16" s="11" t="s">
        <v>146</v>
      </c>
      <c r="AC16" s="11" t="s">
        <v>142</v>
      </c>
      <c r="AD16" s="11" t="s">
        <v>142</v>
      </c>
      <c r="AE16" s="10" t="s">
        <v>142</v>
      </c>
      <c r="AF16" s="10" t="s">
        <v>142</v>
      </c>
      <c r="AG16" s="10" t="s">
        <v>142</v>
      </c>
      <c r="AH16" s="10" t="s">
        <v>142</v>
      </c>
      <c r="AI16" s="10" t="s">
        <v>143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</row>
    <row r="17" customFormat="false" ht="15" hidden="false" customHeight="false" outlineLevel="0" collapsed="false">
      <c r="A17" s="8" t="n">
        <f aca="false">Policías!A17</f>
        <v>113</v>
      </c>
      <c r="B17" s="9" t="str">
        <f aca="false">Policías!B17</f>
        <v>Jorge</v>
      </c>
      <c r="C17" s="9" t="str">
        <f aca="false">Policías!C17</f>
        <v>Policía</v>
      </c>
      <c r="D17" s="9" t="s">
        <v>17</v>
      </c>
      <c r="E17" s="11" t="s">
        <v>142</v>
      </c>
      <c r="F17" s="11" t="s">
        <v>142</v>
      </c>
      <c r="G17" s="11" t="s">
        <v>143</v>
      </c>
      <c r="H17" s="11" t="s">
        <v>143</v>
      </c>
      <c r="I17" s="11" t="s">
        <v>145</v>
      </c>
      <c r="J17" s="11" t="s">
        <v>145</v>
      </c>
      <c r="K17" s="11" t="s">
        <v>146</v>
      </c>
      <c r="L17" s="10" t="s">
        <v>146</v>
      </c>
      <c r="M17" s="10" t="s">
        <v>142</v>
      </c>
      <c r="N17" s="10" t="s">
        <v>142</v>
      </c>
      <c r="O17" s="10" t="s">
        <v>142</v>
      </c>
      <c r="P17" s="10" t="s">
        <v>142</v>
      </c>
      <c r="Q17" s="10" t="s">
        <v>142</v>
      </c>
      <c r="R17" s="11" t="s">
        <v>142</v>
      </c>
      <c r="S17" s="11" t="s">
        <v>142</v>
      </c>
      <c r="T17" s="11" t="s">
        <v>142</v>
      </c>
      <c r="U17" s="11" t="s">
        <v>143</v>
      </c>
      <c r="V17" s="11" t="s">
        <v>143</v>
      </c>
      <c r="W17" s="11" t="s">
        <v>145</v>
      </c>
      <c r="X17" s="11" t="s">
        <v>145</v>
      </c>
      <c r="Y17" s="11" t="s">
        <v>146</v>
      </c>
      <c r="Z17" s="10" t="s">
        <v>146</v>
      </c>
      <c r="AA17" s="10" t="s">
        <v>142</v>
      </c>
      <c r="AB17" s="10" t="s">
        <v>142</v>
      </c>
      <c r="AC17" s="10" t="s">
        <v>142</v>
      </c>
      <c r="AD17" s="10" t="s">
        <v>142</v>
      </c>
      <c r="AE17" s="10" t="s">
        <v>142</v>
      </c>
      <c r="AF17" s="11" t="s">
        <v>142</v>
      </c>
      <c r="AG17" s="11" t="s">
        <v>143</v>
      </c>
      <c r="AH17" s="10" t="s">
        <v>143</v>
      </c>
      <c r="AI17" s="10" t="s">
        <v>145</v>
      </c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</row>
    <row r="18" customFormat="false" ht="15" hidden="false" customHeight="false" outlineLevel="0" collapsed="false">
      <c r="A18" s="8" t="n">
        <f aca="false">Policías!A18</f>
        <v>114</v>
      </c>
      <c r="B18" s="9" t="str">
        <f aca="false">Policías!B18</f>
        <v>Maria José </v>
      </c>
      <c r="C18" s="9" t="str">
        <f aca="false">Policías!C18</f>
        <v>Policía</v>
      </c>
      <c r="D18" s="9" t="s">
        <v>9</v>
      </c>
      <c r="E18" s="10" t="s">
        <v>142</v>
      </c>
      <c r="F18" s="10" t="s">
        <v>142</v>
      </c>
      <c r="G18" s="10" t="s">
        <v>143</v>
      </c>
      <c r="H18" s="10" t="s">
        <v>143</v>
      </c>
      <c r="I18" s="10" t="s">
        <v>143</v>
      </c>
      <c r="J18" s="10" t="s">
        <v>143</v>
      </c>
      <c r="K18" s="11" t="s">
        <v>143</v>
      </c>
      <c r="L18" s="11" t="s">
        <v>142</v>
      </c>
      <c r="M18" s="11" t="s">
        <v>142</v>
      </c>
      <c r="N18" s="10" t="s">
        <v>143</v>
      </c>
      <c r="O18" s="10" t="s">
        <v>143</v>
      </c>
      <c r="P18" s="10" t="s">
        <v>143</v>
      </c>
      <c r="Q18" s="10" t="s">
        <v>143</v>
      </c>
      <c r="R18" s="10" t="s">
        <v>143</v>
      </c>
      <c r="S18" s="10" t="s">
        <v>142</v>
      </c>
      <c r="T18" s="11" t="s">
        <v>142</v>
      </c>
      <c r="U18" s="11" t="s">
        <v>143</v>
      </c>
      <c r="V18" s="11" t="s">
        <v>143</v>
      </c>
      <c r="W18" s="10" t="s">
        <v>143</v>
      </c>
      <c r="X18" s="10" t="s">
        <v>142</v>
      </c>
      <c r="Y18" s="10" t="s">
        <v>143</v>
      </c>
      <c r="Z18" s="10" t="s">
        <v>142</v>
      </c>
      <c r="AA18" s="10" t="s">
        <v>142</v>
      </c>
      <c r="AB18" s="10" t="s">
        <v>143</v>
      </c>
      <c r="AC18" s="11" t="s">
        <v>143</v>
      </c>
      <c r="AD18" s="11" t="s">
        <v>143</v>
      </c>
      <c r="AE18" s="11" t="s">
        <v>143</v>
      </c>
      <c r="AF18" s="10" t="s">
        <v>143</v>
      </c>
      <c r="AG18" s="10" t="s">
        <v>142</v>
      </c>
      <c r="AH18" s="10" t="s">
        <v>142</v>
      </c>
      <c r="AI18" s="10" t="s">
        <v>143</v>
      </c>
      <c r="AJ18" s="12" t="s">
        <v>143</v>
      </c>
      <c r="AK18" s="12" t="s">
        <v>143</v>
      </c>
      <c r="AL18" s="12" t="s">
        <v>143</v>
      </c>
      <c r="AM18" s="12" t="s">
        <v>143</v>
      </c>
      <c r="AN18" s="10" t="s">
        <v>142</v>
      </c>
      <c r="AO18" s="10" t="s">
        <v>142</v>
      </c>
      <c r="AP18" s="10" t="s">
        <v>143</v>
      </c>
      <c r="AQ18" s="12" t="s">
        <v>143</v>
      </c>
      <c r="AR18" s="12" t="s">
        <v>143</v>
      </c>
      <c r="AS18" s="12" t="s">
        <v>143</v>
      </c>
      <c r="AT18" s="12" t="s">
        <v>143</v>
      </c>
      <c r="AU18" s="10" t="s">
        <v>142</v>
      </c>
      <c r="AV18" s="10" t="s">
        <v>142</v>
      </c>
      <c r="AW18" s="10" t="s">
        <v>143</v>
      </c>
      <c r="AX18" s="12" t="s">
        <v>143</v>
      </c>
      <c r="AY18" s="12" t="s">
        <v>143</v>
      </c>
      <c r="AZ18" s="12" t="s">
        <v>143</v>
      </c>
      <c r="BA18" s="12" t="s">
        <v>143</v>
      </c>
      <c r="BB18" s="10" t="s">
        <v>142</v>
      </c>
      <c r="BC18" s="10" t="s">
        <v>142</v>
      </c>
      <c r="BD18" s="10" t="s">
        <v>143</v>
      </c>
      <c r="BE18" s="12" t="s">
        <v>143</v>
      </c>
      <c r="BF18" s="12" t="s">
        <v>143</v>
      </c>
      <c r="BG18" s="12" t="s">
        <v>143</v>
      </c>
      <c r="BH18" s="12" t="s">
        <v>143</v>
      </c>
      <c r="BI18" s="10" t="s">
        <v>142</v>
      </c>
      <c r="BJ18" s="10" t="s">
        <v>142</v>
      </c>
      <c r="BK18" s="10" t="s">
        <v>143</v>
      </c>
      <c r="BL18" s="12" t="s">
        <v>143</v>
      </c>
      <c r="BM18" s="12" t="s">
        <v>143</v>
      </c>
    </row>
    <row r="19" customFormat="false" ht="15" hidden="false" customHeight="false" outlineLevel="0" collapsed="false">
      <c r="A19" s="8" t="n">
        <f aca="false">Policías!A19</f>
        <v>115</v>
      </c>
      <c r="B19" s="9" t="str">
        <f aca="false">Policías!B19</f>
        <v>Martín Francisco </v>
      </c>
      <c r="C19" s="9" t="str">
        <f aca="false">Policías!C19</f>
        <v>Policía</v>
      </c>
      <c r="D19" s="9" t="s">
        <v>33</v>
      </c>
      <c r="E19" s="10" t="s">
        <v>146</v>
      </c>
      <c r="F19" s="10" t="s">
        <v>146</v>
      </c>
      <c r="G19" s="10" t="s">
        <v>142</v>
      </c>
      <c r="H19" s="11" t="s">
        <v>142</v>
      </c>
      <c r="I19" s="11" t="s">
        <v>142</v>
      </c>
      <c r="J19" s="11" t="s">
        <v>142</v>
      </c>
      <c r="K19" s="11" t="s">
        <v>142</v>
      </c>
      <c r="L19" s="11" t="s">
        <v>142</v>
      </c>
      <c r="M19" s="10" t="s">
        <v>143</v>
      </c>
      <c r="N19" s="10" t="s">
        <v>143</v>
      </c>
      <c r="O19" s="10" t="s">
        <v>145</v>
      </c>
      <c r="P19" s="10" t="s">
        <v>145</v>
      </c>
      <c r="Q19" s="10" t="s">
        <v>146</v>
      </c>
      <c r="R19" s="10" t="s">
        <v>146</v>
      </c>
      <c r="S19" s="11" t="s">
        <v>142</v>
      </c>
      <c r="T19" s="11" t="s">
        <v>142</v>
      </c>
      <c r="U19" s="11" t="s">
        <v>142</v>
      </c>
      <c r="V19" s="11" t="s">
        <v>142</v>
      </c>
      <c r="W19" s="11" t="s">
        <v>142</v>
      </c>
      <c r="X19" s="10" t="s">
        <v>142</v>
      </c>
      <c r="Y19" s="10" t="s">
        <v>143</v>
      </c>
      <c r="Z19" s="10" t="s">
        <v>143</v>
      </c>
      <c r="AA19" s="10" t="s">
        <v>145</v>
      </c>
      <c r="AB19" s="10" t="s">
        <v>145</v>
      </c>
      <c r="AC19" s="10" t="s">
        <v>146</v>
      </c>
      <c r="AD19" s="11" t="s">
        <v>146</v>
      </c>
      <c r="AE19" s="11" t="s">
        <v>142</v>
      </c>
      <c r="AF19" s="11" t="s">
        <v>142</v>
      </c>
      <c r="AG19" s="11" t="s">
        <v>142</v>
      </c>
      <c r="AH19" s="11" t="s">
        <v>142</v>
      </c>
      <c r="AI19" s="10" t="s">
        <v>142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</row>
    <row r="20" customFormat="false" ht="15" hidden="false" customHeight="false" outlineLevel="0" collapsed="false">
      <c r="A20" s="8" t="n">
        <f aca="false">Policías!A20</f>
        <v>116</v>
      </c>
      <c r="B20" s="9" t="str">
        <f aca="false">Policías!B20</f>
        <v>Bartolomé </v>
      </c>
      <c r="C20" s="9" t="str">
        <f aca="false">Policías!C20</f>
        <v>Policía</v>
      </c>
      <c r="D20" s="9" t="s">
        <v>35</v>
      </c>
      <c r="E20" s="10" t="s">
        <v>145</v>
      </c>
      <c r="F20" s="10" t="s">
        <v>145</v>
      </c>
      <c r="G20" s="11" t="s">
        <v>146</v>
      </c>
      <c r="H20" s="11" t="s">
        <v>146</v>
      </c>
      <c r="I20" s="11" t="s">
        <v>142</v>
      </c>
      <c r="J20" s="11" t="s">
        <v>142</v>
      </c>
      <c r="K20" s="11" t="s">
        <v>142</v>
      </c>
      <c r="L20" s="10" t="s">
        <v>142</v>
      </c>
      <c r="M20" s="10" t="s">
        <v>142</v>
      </c>
      <c r="N20" s="10" t="s">
        <v>142</v>
      </c>
      <c r="O20" s="10" t="s">
        <v>143</v>
      </c>
      <c r="P20" s="10" t="s">
        <v>143</v>
      </c>
      <c r="Q20" s="10" t="s">
        <v>145</v>
      </c>
      <c r="R20" s="11" t="s">
        <v>145</v>
      </c>
      <c r="S20" s="11" t="s">
        <v>146</v>
      </c>
      <c r="T20" s="11" t="s">
        <v>146</v>
      </c>
      <c r="U20" s="11" t="s">
        <v>142</v>
      </c>
      <c r="V20" s="11" t="s">
        <v>142</v>
      </c>
      <c r="W20" s="10" t="s">
        <v>142</v>
      </c>
      <c r="X20" s="10" t="s">
        <v>142</v>
      </c>
      <c r="Y20" s="10" t="s">
        <v>142</v>
      </c>
      <c r="Z20" s="10" t="s">
        <v>142</v>
      </c>
      <c r="AA20" s="10" t="s">
        <v>143</v>
      </c>
      <c r="AB20" s="10" t="s">
        <v>143</v>
      </c>
      <c r="AC20" s="11" t="s">
        <v>145</v>
      </c>
      <c r="AD20" s="11" t="s">
        <v>145</v>
      </c>
      <c r="AE20" s="11" t="s">
        <v>146</v>
      </c>
      <c r="AF20" s="11" t="s">
        <v>146</v>
      </c>
      <c r="AG20" s="11" t="s">
        <v>142</v>
      </c>
      <c r="AH20" s="10" t="s">
        <v>142</v>
      </c>
      <c r="AI20" s="10" t="s">
        <v>142</v>
      </c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</row>
    <row r="21" customFormat="false" ht="15" hidden="false" customHeight="false" outlineLevel="0" collapsed="false">
      <c r="A21" s="8" t="n">
        <f aca="false">Policías!A21</f>
        <v>117</v>
      </c>
      <c r="B21" s="9" t="str">
        <f aca="false">Policías!B21</f>
        <v>Miguel Ángel </v>
      </c>
      <c r="C21" s="9" t="str">
        <f aca="false">Policías!C21</f>
        <v>Policía</v>
      </c>
      <c r="D21" s="9" t="s">
        <v>21</v>
      </c>
      <c r="E21" s="11" t="s">
        <v>142</v>
      </c>
      <c r="F21" s="11" t="s">
        <v>142</v>
      </c>
      <c r="G21" s="11" t="s">
        <v>142</v>
      </c>
      <c r="H21" s="11" t="s">
        <v>142</v>
      </c>
      <c r="I21" s="11" t="s">
        <v>143</v>
      </c>
      <c r="J21" s="10" t="s">
        <v>143</v>
      </c>
      <c r="K21" s="10" t="s">
        <v>145</v>
      </c>
      <c r="L21" s="10" t="s">
        <v>145</v>
      </c>
      <c r="M21" s="10" t="s">
        <v>146</v>
      </c>
      <c r="N21" s="10" t="s">
        <v>146</v>
      </c>
      <c r="O21" s="10" t="s">
        <v>142</v>
      </c>
      <c r="P21" s="11" t="s">
        <v>142</v>
      </c>
      <c r="Q21" s="11" t="s">
        <v>142</v>
      </c>
      <c r="R21" s="11" t="s">
        <v>142</v>
      </c>
      <c r="S21" s="11" t="s">
        <v>142</v>
      </c>
      <c r="T21" s="11" t="s">
        <v>142</v>
      </c>
      <c r="U21" s="10" t="s">
        <v>143</v>
      </c>
      <c r="V21" s="10" t="s">
        <v>143</v>
      </c>
      <c r="W21" s="10" t="s">
        <v>145</v>
      </c>
      <c r="X21" s="10" t="s">
        <v>145</v>
      </c>
      <c r="Y21" s="10" t="s">
        <v>146</v>
      </c>
      <c r="Z21" s="10" t="s">
        <v>146</v>
      </c>
      <c r="AA21" s="11" t="s">
        <v>142</v>
      </c>
      <c r="AB21" s="11" t="s">
        <v>142</v>
      </c>
      <c r="AC21" s="11" t="s">
        <v>142</v>
      </c>
      <c r="AD21" s="11" t="s">
        <v>142</v>
      </c>
      <c r="AE21" s="11" t="s">
        <v>142</v>
      </c>
      <c r="AF21" s="10" t="s">
        <v>142</v>
      </c>
      <c r="AG21" s="10" t="s">
        <v>143</v>
      </c>
      <c r="AH21" s="10" t="s">
        <v>143</v>
      </c>
      <c r="AI21" s="10" t="s">
        <v>145</v>
      </c>
      <c r="AJ21" s="12" t="s">
        <v>145</v>
      </c>
      <c r="AK21" s="12" t="s">
        <v>146</v>
      </c>
      <c r="AL21" s="12" t="s">
        <v>146</v>
      </c>
      <c r="AM21" s="11" t="s">
        <v>142</v>
      </c>
      <c r="AN21" s="11" t="s">
        <v>142</v>
      </c>
      <c r="AO21" s="11" t="s">
        <v>142</v>
      </c>
      <c r="AP21" s="11" t="s">
        <v>142</v>
      </c>
      <c r="AQ21" s="11" t="s">
        <v>142</v>
      </c>
      <c r="AR21" s="10" t="s">
        <v>142</v>
      </c>
      <c r="AS21" s="10" t="s">
        <v>143</v>
      </c>
      <c r="AT21" s="10" t="s">
        <v>143</v>
      </c>
      <c r="AU21" s="10" t="s">
        <v>145</v>
      </c>
      <c r="AV21" s="12" t="s">
        <v>145</v>
      </c>
      <c r="AW21" s="12" t="s">
        <v>146</v>
      </c>
      <c r="AX21" s="12" t="s">
        <v>146</v>
      </c>
      <c r="AY21" s="11" t="s">
        <v>142</v>
      </c>
      <c r="AZ21" s="11" t="s">
        <v>142</v>
      </c>
      <c r="BA21" s="11" t="s">
        <v>142</v>
      </c>
      <c r="BB21" s="11" t="s">
        <v>142</v>
      </c>
      <c r="BC21" s="11" t="s">
        <v>142</v>
      </c>
      <c r="BD21" s="10" t="s">
        <v>142</v>
      </c>
      <c r="BE21" s="10" t="s">
        <v>143</v>
      </c>
      <c r="BF21" s="10" t="s">
        <v>143</v>
      </c>
      <c r="BG21" s="10" t="s">
        <v>145</v>
      </c>
      <c r="BH21" s="12" t="s">
        <v>145</v>
      </c>
      <c r="BI21" s="12" t="s">
        <v>146</v>
      </c>
      <c r="BJ21" s="12" t="s">
        <v>146</v>
      </c>
      <c r="BK21" s="11" t="s">
        <v>142</v>
      </c>
      <c r="BL21" s="11" t="s">
        <v>142</v>
      </c>
      <c r="BM21" s="11" t="s">
        <v>142</v>
      </c>
    </row>
    <row r="22" customFormat="false" ht="15" hidden="false" customHeight="false" outlineLevel="0" collapsed="false">
      <c r="A22" s="8" t="n">
        <f aca="false">Policías!A22</f>
        <v>118</v>
      </c>
      <c r="B22" s="9" t="str">
        <f aca="false">Policías!B22</f>
        <v>José </v>
      </c>
      <c r="C22" s="9" t="str">
        <f aca="false">Policías!C22</f>
        <v>Policía</v>
      </c>
      <c r="D22" s="9" t="s">
        <v>19</v>
      </c>
      <c r="E22" s="10" t="s">
        <v>143</v>
      </c>
      <c r="F22" s="11" t="s">
        <v>143</v>
      </c>
      <c r="G22" s="11" t="s">
        <v>145</v>
      </c>
      <c r="H22" s="11" t="s">
        <v>145</v>
      </c>
      <c r="I22" s="11" t="s">
        <v>146</v>
      </c>
      <c r="J22" s="11" t="s">
        <v>146</v>
      </c>
      <c r="K22" s="10" t="s">
        <v>142</v>
      </c>
      <c r="L22" s="10" t="s">
        <v>142</v>
      </c>
      <c r="M22" s="10" t="s">
        <v>142</v>
      </c>
      <c r="N22" s="10" t="s">
        <v>142</v>
      </c>
      <c r="O22" s="10" t="s">
        <v>142</v>
      </c>
      <c r="P22" s="10" t="s">
        <v>142</v>
      </c>
      <c r="Q22" s="11" t="s">
        <v>143</v>
      </c>
      <c r="R22" s="11" t="s">
        <v>143</v>
      </c>
      <c r="S22" s="11" t="s">
        <v>145</v>
      </c>
      <c r="T22" s="11" t="s">
        <v>145</v>
      </c>
      <c r="U22" s="11" t="s">
        <v>146</v>
      </c>
      <c r="V22" s="10" t="s">
        <v>146</v>
      </c>
      <c r="W22" s="10" t="s">
        <v>142</v>
      </c>
      <c r="X22" s="10" t="s">
        <v>142</v>
      </c>
      <c r="Y22" s="10" t="s">
        <v>142</v>
      </c>
      <c r="Z22" s="10" t="s">
        <v>142</v>
      </c>
      <c r="AA22" s="10" t="s">
        <v>142</v>
      </c>
      <c r="AB22" s="11" t="s">
        <v>142</v>
      </c>
      <c r="AC22" s="11" t="s">
        <v>143</v>
      </c>
      <c r="AD22" s="11" t="s">
        <v>143</v>
      </c>
      <c r="AE22" s="11" t="s">
        <v>145</v>
      </c>
      <c r="AF22" s="11" t="s">
        <v>145</v>
      </c>
      <c r="AG22" s="10" t="s">
        <v>146</v>
      </c>
      <c r="AH22" s="10" t="s">
        <v>146</v>
      </c>
      <c r="AI22" s="10" t="s">
        <v>142</v>
      </c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</row>
    <row r="23" customFormat="false" ht="15" hidden="false" customHeight="false" outlineLevel="0" collapsed="false">
      <c r="A23" s="8" t="n">
        <f aca="false">Policías!A23</f>
        <v>119</v>
      </c>
      <c r="B23" s="9" t="str">
        <f aca="false">Policías!B23</f>
        <v>Francisco José </v>
      </c>
      <c r="C23" s="9" t="str">
        <f aca="false">Policías!C23</f>
        <v>Policía</v>
      </c>
      <c r="D23" s="9" t="s">
        <v>9</v>
      </c>
      <c r="E23" s="10" t="s">
        <v>142</v>
      </c>
      <c r="F23" s="10" t="s">
        <v>142</v>
      </c>
      <c r="G23" s="10" t="s">
        <v>143</v>
      </c>
      <c r="H23" s="10" t="s">
        <v>143</v>
      </c>
      <c r="I23" s="10" t="s">
        <v>143</v>
      </c>
      <c r="J23" s="10" t="s">
        <v>143</v>
      </c>
      <c r="K23" s="11" t="s">
        <v>143</v>
      </c>
      <c r="L23" s="11" t="s">
        <v>142</v>
      </c>
      <c r="M23" s="11" t="s">
        <v>142</v>
      </c>
      <c r="N23" s="10" t="s">
        <v>143</v>
      </c>
      <c r="O23" s="10" t="s">
        <v>143</v>
      </c>
      <c r="P23" s="10" t="s">
        <v>143</v>
      </c>
      <c r="Q23" s="10" t="s">
        <v>143</v>
      </c>
      <c r="R23" s="10" t="s">
        <v>143</v>
      </c>
      <c r="S23" s="10" t="s">
        <v>142</v>
      </c>
      <c r="T23" s="11" t="s">
        <v>142</v>
      </c>
      <c r="U23" s="11" t="s">
        <v>143</v>
      </c>
      <c r="V23" s="11" t="s">
        <v>143</v>
      </c>
      <c r="W23" s="10" t="s">
        <v>143</v>
      </c>
      <c r="X23" s="10" t="s">
        <v>142</v>
      </c>
      <c r="Y23" s="10" t="s">
        <v>143</v>
      </c>
      <c r="Z23" s="10" t="s">
        <v>142</v>
      </c>
      <c r="AA23" s="10" t="s">
        <v>142</v>
      </c>
      <c r="AB23" s="10" t="s">
        <v>143</v>
      </c>
      <c r="AC23" s="11" t="s">
        <v>143</v>
      </c>
      <c r="AD23" s="11" t="s">
        <v>143</v>
      </c>
      <c r="AE23" s="11" t="s">
        <v>143</v>
      </c>
      <c r="AF23" s="10" t="s">
        <v>143</v>
      </c>
      <c r="AG23" s="10" t="s">
        <v>142</v>
      </c>
      <c r="AH23" s="10" t="s">
        <v>142</v>
      </c>
      <c r="AI23" s="10" t="s">
        <v>143</v>
      </c>
      <c r="AJ23" s="12" t="s">
        <v>143</v>
      </c>
      <c r="AK23" s="12" t="s">
        <v>143</v>
      </c>
      <c r="AL23" s="12" t="s">
        <v>143</v>
      </c>
      <c r="AM23" s="12" t="s">
        <v>143</v>
      </c>
      <c r="AN23" s="10" t="s">
        <v>142</v>
      </c>
      <c r="AO23" s="10" t="s">
        <v>142</v>
      </c>
      <c r="AP23" s="10" t="s">
        <v>143</v>
      </c>
      <c r="AQ23" s="12" t="s">
        <v>143</v>
      </c>
      <c r="AR23" s="12" t="s">
        <v>143</v>
      </c>
      <c r="AS23" s="12" t="s">
        <v>143</v>
      </c>
      <c r="AT23" s="12" t="s">
        <v>143</v>
      </c>
      <c r="AU23" s="10" t="s">
        <v>142</v>
      </c>
      <c r="AV23" s="10" t="s">
        <v>142</v>
      </c>
      <c r="AW23" s="10" t="s">
        <v>143</v>
      </c>
      <c r="AX23" s="12" t="s">
        <v>143</v>
      </c>
      <c r="AY23" s="12" t="s">
        <v>143</v>
      </c>
      <c r="AZ23" s="12" t="s">
        <v>143</v>
      </c>
      <c r="BA23" s="12" t="s">
        <v>143</v>
      </c>
      <c r="BB23" s="10" t="s">
        <v>142</v>
      </c>
      <c r="BC23" s="10" t="s">
        <v>142</v>
      </c>
      <c r="BD23" s="10" t="s">
        <v>143</v>
      </c>
      <c r="BE23" s="12" t="s">
        <v>143</v>
      </c>
      <c r="BF23" s="12" t="s">
        <v>143</v>
      </c>
      <c r="BG23" s="12" t="s">
        <v>143</v>
      </c>
      <c r="BH23" s="12" t="s">
        <v>143</v>
      </c>
      <c r="BI23" s="10" t="s">
        <v>142</v>
      </c>
      <c r="BJ23" s="10" t="s">
        <v>142</v>
      </c>
      <c r="BK23" s="10" t="s">
        <v>143</v>
      </c>
      <c r="BL23" s="12" t="s">
        <v>143</v>
      </c>
      <c r="BM23" s="12" t="s">
        <v>143</v>
      </c>
    </row>
    <row r="24" customFormat="false" ht="15" hidden="false" customHeight="false" outlineLevel="0" collapsed="false">
      <c r="A24" s="8" t="n">
        <f aca="false">Policías!A24</f>
        <v>120</v>
      </c>
      <c r="B24" s="9" t="str">
        <f aca="false">Policías!B24</f>
        <v>Jose Antonio </v>
      </c>
      <c r="C24" s="9" t="str">
        <f aca="false">Policías!C24</f>
        <v>Policía</v>
      </c>
      <c r="D24" s="9" t="s">
        <v>23</v>
      </c>
      <c r="E24" s="11" t="s">
        <v>142</v>
      </c>
      <c r="F24" s="11" t="s">
        <v>142</v>
      </c>
      <c r="G24" s="11" t="s">
        <v>142</v>
      </c>
      <c r="H24" s="11" t="s">
        <v>142</v>
      </c>
      <c r="I24" s="10" t="s">
        <v>142</v>
      </c>
      <c r="J24" s="10" t="s">
        <v>142</v>
      </c>
      <c r="K24" s="10" t="s">
        <v>143</v>
      </c>
      <c r="L24" s="10" t="s">
        <v>143</v>
      </c>
      <c r="M24" s="10" t="s">
        <v>145</v>
      </c>
      <c r="N24" s="10" t="s">
        <v>145</v>
      </c>
      <c r="O24" s="11" t="s">
        <v>146</v>
      </c>
      <c r="P24" s="11" t="s">
        <v>146</v>
      </c>
      <c r="Q24" s="11" t="s">
        <v>142</v>
      </c>
      <c r="R24" s="11" t="s">
        <v>142</v>
      </c>
      <c r="S24" s="11" t="s">
        <v>142</v>
      </c>
      <c r="T24" s="10" t="s">
        <v>142</v>
      </c>
      <c r="U24" s="10" t="s">
        <v>142</v>
      </c>
      <c r="V24" s="10" t="s">
        <v>142</v>
      </c>
      <c r="W24" s="10" t="s">
        <v>143</v>
      </c>
      <c r="X24" s="10" t="s">
        <v>143</v>
      </c>
      <c r="Y24" s="10" t="s">
        <v>145</v>
      </c>
      <c r="Z24" s="11" t="s">
        <v>145</v>
      </c>
      <c r="AA24" s="11" t="s">
        <v>146</v>
      </c>
      <c r="AB24" s="11" t="s">
        <v>146</v>
      </c>
      <c r="AC24" s="11" t="s">
        <v>142</v>
      </c>
      <c r="AD24" s="11" t="s">
        <v>142</v>
      </c>
      <c r="AE24" s="10" t="s">
        <v>142</v>
      </c>
      <c r="AF24" s="10" t="s">
        <v>142</v>
      </c>
      <c r="AG24" s="10" t="s">
        <v>142</v>
      </c>
      <c r="AH24" s="10" t="s">
        <v>142</v>
      </c>
      <c r="AI24" s="10" t="s">
        <v>143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</row>
    <row r="25" customFormat="false" ht="15" hidden="false" customHeight="false" outlineLevel="0" collapsed="false">
      <c r="A25" s="8" t="n">
        <f aca="false">Policías!A25</f>
        <v>121</v>
      </c>
      <c r="B25" s="9" t="str">
        <f aca="false">Policías!B25</f>
        <v>De la Torre </v>
      </c>
      <c r="C25" s="9" t="str">
        <f aca="false">Policías!C25</f>
        <v>Policía</v>
      </c>
      <c r="D25" s="9" t="s">
        <v>33</v>
      </c>
      <c r="E25" s="10" t="s">
        <v>146</v>
      </c>
      <c r="F25" s="10" t="s">
        <v>146</v>
      </c>
      <c r="G25" s="10" t="s">
        <v>142</v>
      </c>
      <c r="H25" s="11" t="s">
        <v>142</v>
      </c>
      <c r="I25" s="11" t="s">
        <v>142</v>
      </c>
      <c r="J25" s="11" t="s">
        <v>142</v>
      </c>
      <c r="K25" s="11" t="s">
        <v>142</v>
      </c>
      <c r="L25" s="11" t="s">
        <v>142</v>
      </c>
      <c r="M25" s="10" t="s">
        <v>143</v>
      </c>
      <c r="N25" s="10" t="s">
        <v>143</v>
      </c>
      <c r="O25" s="10" t="s">
        <v>145</v>
      </c>
      <c r="P25" s="10" t="s">
        <v>145</v>
      </c>
      <c r="Q25" s="10" t="s">
        <v>146</v>
      </c>
      <c r="R25" s="10" t="s">
        <v>146</v>
      </c>
      <c r="S25" s="11" t="s">
        <v>142</v>
      </c>
      <c r="T25" s="11" t="s">
        <v>142</v>
      </c>
      <c r="U25" s="11" t="s">
        <v>142</v>
      </c>
      <c r="V25" s="11" t="s">
        <v>142</v>
      </c>
      <c r="W25" s="11" t="s">
        <v>142</v>
      </c>
      <c r="X25" s="10" t="s">
        <v>142</v>
      </c>
      <c r="Y25" s="10" t="s">
        <v>143</v>
      </c>
      <c r="Z25" s="10" t="s">
        <v>143</v>
      </c>
      <c r="AA25" s="10" t="s">
        <v>145</v>
      </c>
      <c r="AB25" s="10" t="s">
        <v>145</v>
      </c>
      <c r="AC25" s="10" t="s">
        <v>146</v>
      </c>
      <c r="AD25" s="11" t="s">
        <v>146</v>
      </c>
      <c r="AE25" s="11" t="s">
        <v>142</v>
      </c>
      <c r="AF25" s="11" t="s">
        <v>142</v>
      </c>
      <c r="AG25" s="11" t="s">
        <v>142</v>
      </c>
      <c r="AH25" s="11" t="s">
        <v>142</v>
      </c>
      <c r="AI25" s="10" t="s">
        <v>142</v>
      </c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</row>
    <row r="26" customFormat="false" ht="15" hidden="false" customHeight="false" outlineLevel="0" collapsed="false">
      <c r="A26" s="8" t="n">
        <f aca="false">Policías!A26</f>
        <v>122</v>
      </c>
      <c r="B26" s="9" t="str">
        <f aca="false">Policías!B26</f>
        <v>Bartolomé 2</v>
      </c>
      <c r="C26" s="9" t="str">
        <f aca="false">Policías!C26</f>
        <v>Policía</v>
      </c>
      <c r="D26" s="9" t="s">
        <v>35</v>
      </c>
      <c r="E26" s="10" t="s">
        <v>145</v>
      </c>
      <c r="F26" s="10" t="s">
        <v>145</v>
      </c>
      <c r="G26" s="11" t="s">
        <v>146</v>
      </c>
      <c r="H26" s="11" t="s">
        <v>146</v>
      </c>
      <c r="I26" s="11" t="s">
        <v>142</v>
      </c>
      <c r="J26" s="11" t="s">
        <v>142</v>
      </c>
      <c r="K26" s="11" t="s">
        <v>142</v>
      </c>
      <c r="L26" s="10" t="s">
        <v>142</v>
      </c>
      <c r="M26" s="10" t="s">
        <v>142</v>
      </c>
      <c r="N26" s="10" t="s">
        <v>142</v>
      </c>
      <c r="O26" s="10" t="s">
        <v>143</v>
      </c>
      <c r="P26" s="10" t="s">
        <v>143</v>
      </c>
      <c r="Q26" s="10" t="s">
        <v>145</v>
      </c>
      <c r="R26" s="11" t="s">
        <v>145</v>
      </c>
      <c r="S26" s="11" t="s">
        <v>146</v>
      </c>
      <c r="T26" s="11" t="s">
        <v>146</v>
      </c>
      <c r="U26" s="11" t="s">
        <v>142</v>
      </c>
      <c r="V26" s="11" t="s">
        <v>142</v>
      </c>
      <c r="W26" s="10" t="s">
        <v>142</v>
      </c>
      <c r="X26" s="10" t="s">
        <v>142</v>
      </c>
      <c r="Y26" s="10" t="s">
        <v>142</v>
      </c>
      <c r="Z26" s="10" t="s">
        <v>142</v>
      </c>
      <c r="AA26" s="10" t="s">
        <v>143</v>
      </c>
      <c r="AB26" s="10" t="s">
        <v>143</v>
      </c>
      <c r="AC26" s="11" t="s">
        <v>145</v>
      </c>
      <c r="AD26" s="11" t="s">
        <v>145</v>
      </c>
      <c r="AE26" s="11" t="s">
        <v>146</v>
      </c>
      <c r="AF26" s="11" t="s">
        <v>146</v>
      </c>
      <c r="AG26" s="11" t="s">
        <v>142</v>
      </c>
      <c r="AH26" s="10" t="s">
        <v>142</v>
      </c>
      <c r="AI26" s="10" t="s">
        <v>142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</row>
    <row r="27" customFormat="false" ht="15" hidden="false" customHeight="false" outlineLevel="0" collapsed="false">
      <c r="A27" s="8" t="n">
        <f aca="false">Policías!A27</f>
        <v>123</v>
      </c>
      <c r="B27" s="9" t="str">
        <f aca="false">Policías!B27</f>
        <v>Pedro </v>
      </c>
      <c r="C27" s="9" t="str">
        <f aca="false">Policías!C27</f>
        <v>Policía</v>
      </c>
      <c r="D27" s="9" t="s">
        <v>35</v>
      </c>
      <c r="E27" s="10" t="s">
        <v>145</v>
      </c>
      <c r="F27" s="10" t="s">
        <v>145</v>
      </c>
      <c r="G27" s="11" t="s">
        <v>146</v>
      </c>
      <c r="H27" s="11" t="s">
        <v>146</v>
      </c>
      <c r="I27" s="11" t="s">
        <v>142</v>
      </c>
      <c r="J27" s="11" t="s">
        <v>142</v>
      </c>
      <c r="K27" s="11" t="s">
        <v>142</v>
      </c>
      <c r="L27" s="10" t="s">
        <v>142</v>
      </c>
      <c r="M27" s="10" t="s">
        <v>142</v>
      </c>
      <c r="N27" s="10" t="s">
        <v>142</v>
      </c>
      <c r="O27" s="10" t="s">
        <v>143</v>
      </c>
      <c r="P27" s="10" t="s">
        <v>143</v>
      </c>
      <c r="Q27" s="10" t="s">
        <v>145</v>
      </c>
      <c r="R27" s="11" t="s">
        <v>145</v>
      </c>
      <c r="S27" s="11" t="s">
        <v>146</v>
      </c>
      <c r="T27" s="11" t="s">
        <v>146</v>
      </c>
      <c r="U27" s="11" t="s">
        <v>142</v>
      </c>
      <c r="V27" s="11" t="s">
        <v>142</v>
      </c>
      <c r="W27" s="10" t="s">
        <v>142</v>
      </c>
      <c r="X27" s="10" t="s">
        <v>142</v>
      </c>
      <c r="Y27" s="10" t="s">
        <v>142</v>
      </c>
      <c r="Z27" s="10" t="s">
        <v>142</v>
      </c>
      <c r="AA27" s="10" t="s">
        <v>143</v>
      </c>
      <c r="AB27" s="10" t="s">
        <v>143</v>
      </c>
      <c r="AC27" s="11" t="s">
        <v>145</v>
      </c>
      <c r="AD27" s="11" t="s">
        <v>145</v>
      </c>
      <c r="AE27" s="11" t="s">
        <v>146</v>
      </c>
      <c r="AF27" s="11" t="s">
        <v>146</v>
      </c>
      <c r="AG27" s="11" t="s">
        <v>142</v>
      </c>
      <c r="AH27" s="10" t="s">
        <v>142</v>
      </c>
      <c r="AI27" s="10" t="s">
        <v>142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</row>
    <row r="28" customFormat="false" ht="15" hidden="false" customHeight="false" outlineLevel="0" collapsed="false">
      <c r="A28" s="8" t="n">
        <f aca="false">Policías!A28</f>
        <v>124</v>
      </c>
      <c r="B28" s="9" t="str">
        <f aca="false">Policías!B28</f>
        <v>José María</v>
      </c>
      <c r="C28" s="9" t="str">
        <f aca="false">Policías!C28</f>
        <v>Policía</v>
      </c>
      <c r="D28" s="9" t="s">
        <v>9</v>
      </c>
      <c r="E28" s="10" t="s">
        <v>142</v>
      </c>
      <c r="F28" s="10" t="s">
        <v>142</v>
      </c>
      <c r="G28" s="10" t="s">
        <v>143</v>
      </c>
      <c r="H28" s="10" t="s">
        <v>143</v>
      </c>
      <c r="I28" s="10" t="s">
        <v>143</v>
      </c>
      <c r="J28" s="10" t="s">
        <v>143</v>
      </c>
      <c r="K28" s="11" t="s">
        <v>143</v>
      </c>
      <c r="L28" s="11" t="s">
        <v>142</v>
      </c>
      <c r="M28" s="11" t="s">
        <v>142</v>
      </c>
      <c r="N28" s="10" t="s">
        <v>143</v>
      </c>
      <c r="O28" s="10" t="s">
        <v>143</v>
      </c>
      <c r="P28" s="10" t="s">
        <v>143</v>
      </c>
      <c r="Q28" s="10" t="s">
        <v>143</v>
      </c>
      <c r="R28" s="10" t="s">
        <v>143</v>
      </c>
      <c r="S28" s="10" t="s">
        <v>142</v>
      </c>
      <c r="T28" s="11" t="s">
        <v>142</v>
      </c>
      <c r="U28" s="11" t="s">
        <v>143</v>
      </c>
      <c r="V28" s="11" t="s">
        <v>143</v>
      </c>
      <c r="W28" s="10" t="s">
        <v>143</v>
      </c>
      <c r="X28" s="10" t="s">
        <v>142</v>
      </c>
      <c r="Y28" s="10" t="s">
        <v>143</v>
      </c>
      <c r="Z28" s="10" t="s">
        <v>142</v>
      </c>
      <c r="AA28" s="10" t="s">
        <v>142</v>
      </c>
      <c r="AB28" s="10" t="s">
        <v>143</v>
      </c>
      <c r="AC28" s="11" t="s">
        <v>143</v>
      </c>
      <c r="AD28" s="11" t="s">
        <v>143</v>
      </c>
      <c r="AE28" s="11" t="s">
        <v>143</v>
      </c>
      <c r="AF28" s="10" t="s">
        <v>143</v>
      </c>
      <c r="AG28" s="10" t="s">
        <v>142</v>
      </c>
      <c r="AH28" s="10" t="s">
        <v>142</v>
      </c>
      <c r="AI28" s="10" t="s">
        <v>143</v>
      </c>
      <c r="AJ28" s="12" t="s">
        <v>143</v>
      </c>
      <c r="AK28" s="12" t="s">
        <v>143</v>
      </c>
      <c r="AL28" s="12" t="s">
        <v>143</v>
      </c>
      <c r="AM28" s="12" t="s">
        <v>143</v>
      </c>
      <c r="AN28" s="10" t="s">
        <v>142</v>
      </c>
      <c r="AO28" s="10" t="s">
        <v>142</v>
      </c>
      <c r="AP28" s="10" t="s">
        <v>143</v>
      </c>
      <c r="AQ28" s="12" t="s">
        <v>143</v>
      </c>
      <c r="AR28" s="12" t="s">
        <v>143</v>
      </c>
      <c r="AS28" s="12" t="s">
        <v>143</v>
      </c>
      <c r="AT28" s="12" t="s">
        <v>143</v>
      </c>
      <c r="AU28" s="10" t="s">
        <v>142</v>
      </c>
      <c r="AV28" s="10" t="s">
        <v>142</v>
      </c>
      <c r="AW28" s="10" t="s">
        <v>143</v>
      </c>
      <c r="AX28" s="12" t="s">
        <v>143</v>
      </c>
      <c r="AY28" s="12" t="s">
        <v>143</v>
      </c>
      <c r="AZ28" s="12" t="s">
        <v>143</v>
      </c>
      <c r="BA28" s="12" t="s">
        <v>143</v>
      </c>
      <c r="BB28" s="10" t="s">
        <v>142</v>
      </c>
      <c r="BC28" s="10" t="s">
        <v>142</v>
      </c>
      <c r="BD28" s="10" t="s">
        <v>143</v>
      </c>
      <c r="BE28" s="12" t="s">
        <v>143</v>
      </c>
      <c r="BF28" s="12" t="s">
        <v>143</v>
      </c>
      <c r="BG28" s="12" t="s">
        <v>143</v>
      </c>
      <c r="BH28" s="12" t="s">
        <v>143</v>
      </c>
      <c r="BI28" s="10" t="s">
        <v>142</v>
      </c>
      <c r="BJ28" s="10" t="s">
        <v>142</v>
      </c>
      <c r="BK28" s="10" t="s">
        <v>143</v>
      </c>
      <c r="BL28" s="12" t="s">
        <v>143</v>
      </c>
      <c r="BM28" s="12" t="s">
        <v>143</v>
      </c>
    </row>
    <row r="29" customFormat="false" ht="15" hidden="false" customHeight="false" outlineLevel="0" collapsed="false">
      <c r="A29" s="8" t="n">
        <f aca="false">Policías!A29</f>
        <v>125</v>
      </c>
      <c r="B29" s="9" t="str">
        <f aca="false">Policías!B29</f>
        <v>Antonio Manuel</v>
      </c>
      <c r="C29" s="9" t="str">
        <f aca="false">Policías!C29</f>
        <v>Policía</v>
      </c>
      <c r="D29" s="9" t="s">
        <v>23</v>
      </c>
      <c r="E29" s="11" t="s">
        <v>142</v>
      </c>
      <c r="F29" s="11" t="s">
        <v>142</v>
      </c>
      <c r="G29" s="11" t="s">
        <v>142</v>
      </c>
      <c r="H29" s="11" t="s">
        <v>142</v>
      </c>
      <c r="I29" s="10" t="s">
        <v>142</v>
      </c>
      <c r="J29" s="10" t="s">
        <v>142</v>
      </c>
      <c r="K29" s="10" t="s">
        <v>143</v>
      </c>
      <c r="L29" s="10" t="s">
        <v>143</v>
      </c>
      <c r="M29" s="10" t="s">
        <v>145</v>
      </c>
      <c r="N29" s="10" t="s">
        <v>145</v>
      </c>
      <c r="O29" s="11" t="s">
        <v>146</v>
      </c>
      <c r="P29" s="11" t="s">
        <v>146</v>
      </c>
      <c r="Q29" s="11" t="s">
        <v>142</v>
      </c>
      <c r="R29" s="11" t="s">
        <v>142</v>
      </c>
      <c r="S29" s="11" t="s">
        <v>142</v>
      </c>
      <c r="T29" s="10" t="s">
        <v>142</v>
      </c>
      <c r="U29" s="10" t="s">
        <v>142</v>
      </c>
      <c r="V29" s="10" t="s">
        <v>142</v>
      </c>
      <c r="W29" s="10" t="s">
        <v>143</v>
      </c>
      <c r="X29" s="10" t="s">
        <v>143</v>
      </c>
      <c r="Y29" s="10" t="s">
        <v>145</v>
      </c>
      <c r="Z29" s="11" t="s">
        <v>145</v>
      </c>
      <c r="AA29" s="11" t="s">
        <v>146</v>
      </c>
      <c r="AB29" s="11" t="s">
        <v>146</v>
      </c>
      <c r="AC29" s="11" t="s">
        <v>142</v>
      </c>
      <c r="AD29" s="11" t="s">
        <v>142</v>
      </c>
      <c r="AE29" s="10" t="s">
        <v>142</v>
      </c>
      <c r="AF29" s="10" t="s">
        <v>142</v>
      </c>
      <c r="AG29" s="10" t="s">
        <v>142</v>
      </c>
      <c r="AH29" s="10" t="s">
        <v>142</v>
      </c>
      <c r="AI29" s="10" t="s">
        <v>143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</row>
    <row r="30" customFormat="false" ht="15" hidden="false" customHeight="false" outlineLevel="0" collapsed="false">
      <c r="A30" s="8" t="n">
        <f aca="false">Policías!A30</f>
        <v>126</v>
      </c>
      <c r="B30" s="9" t="str">
        <f aca="false">Policías!B30</f>
        <v>Daniel </v>
      </c>
      <c r="C30" s="9" t="str">
        <f aca="false">Policías!C30</f>
        <v>Policía</v>
      </c>
      <c r="D30" s="9" t="s">
        <v>35</v>
      </c>
      <c r="E30" s="10" t="s">
        <v>145</v>
      </c>
      <c r="F30" s="10" t="s">
        <v>145</v>
      </c>
      <c r="G30" s="11" t="s">
        <v>146</v>
      </c>
      <c r="H30" s="11" t="s">
        <v>146</v>
      </c>
      <c r="I30" s="11" t="s">
        <v>142</v>
      </c>
      <c r="J30" s="11" t="s">
        <v>142</v>
      </c>
      <c r="K30" s="11" t="s">
        <v>142</v>
      </c>
      <c r="L30" s="10" t="s">
        <v>142</v>
      </c>
      <c r="M30" s="10" t="s">
        <v>142</v>
      </c>
      <c r="N30" s="10" t="s">
        <v>142</v>
      </c>
      <c r="O30" s="10" t="s">
        <v>143</v>
      </c>
      <c r="P30" s="10" t="s">
        <v>143</v>
      </c>
      <c r="Q30" s="10" t="s">
        <v>145</v>
      </c>
      <c r="R30" s="11" t="s">
        <v>145</v>
      </c>
      <c r="S30" s="11" t="s">
        <v>146</v>
      </c>
      <c r="T30" s="11" t="s">
        <v>146</v>
      </c>
      <c r="U30" s="11" t="s">
        <v>142</v>
      </c>
      <c r="V30" s="11" t="s">
        <v>142</v>
      </c>
      <c r="W30" s="10" t="s">
        <v>142</v>
      </c>
      <c r="X30" s="10" t="s">
        <v>142</v>
      </c>
      <c r="Y30" s="10" t="s">
        <v>142</v>
      </c>
      <c r="Z30" s="10" t="s">
        <v>142</v>
      </c>
      <c r="AA30" s="10" t="s">
        <v>143</v>
      </c>
      <c r="AB30" s="10" t="s">
        <v>143</v>
      </c>
      <c r="AC30" s="11" t="s">
        <v>145</v>
      </c>
      <c r="AD30" s="11" t="s">
        <v>145</v>
      </c>
      <c r="AE30" s="11" t="s">
        <v>146</v>
      </c>
      <c r="AF30" s="11" t="s">
        <v>146</v>
      </c>
      <c r="AG30" s="11" t="s">
        <v>142</v>
      </c>
      <c r="AH30" s="10" t="s">
        <v>142</v>
      </c>
      <c r="AI30" s="10" t="s">
        <v>142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</row>
    <row r="31" customFormat="false" ht="15" hidden="false" customHeight="false" outlineLevel="0" collapsed="false">
      <c r="A31" s="8" t="n">
        <f aca="false">Policías!A31</f>
        <v>127</v>
      </c>
      <c r="B31" s="9" t="str">
        <f aca="false">Policías!B31</f>
        <v>Marian</v>
      </c>
      <c r="C31" s="9" t="str">
        <f aca="false">Policías!C31</f>
        <v>Policía</v>
      </c>
      <c r="D31" s="9" t="s">
        <v>23</v>
      </c>
      <c r="E31" s="11" t="s">
        <v>142</v>
      </c>
      <c r="F31" s="11" t="s">
        <v>142</v>
      </c>
      <c r="G31" s="11" t="s">
        <v>142</v>
      </c>
      <c r="H31" s="11" t="s">
        <v>142</v>
      </c>
      <c r="I31" s="10" t="s">
        <v>142</v>
      </c>
      <c r="J31" s="10" t="s">
        <v>142</v>
      </c>
      <c r="K31" s="10" t="s">
        <v>143</v>
      </c>
      <c r="L31" s="10" t="s">
        <v>143</v>
      </c>
      <c r="M31" s="10" t="s">
        <v>145</v>
      </c>
      <c r="N31" s="10" t="s">
        <v>145</v>
      </c>
      <c r="O31" s="11" t="s">
        <v>146</v>
      </c>
      <c r="P31" s="11" t="s">
        <v>146</v>
      </c>
      <c r="Q31" s="11" t="s">
        <v>142</v>
      </c>
      <c r="R31" s="11" t="s">
        <v>142</v>
      </c>
      <c r="S31" s="11" t="s">
        <v>142</v>
      </c>
      <c r="T31" s="10" t="s">
        <v>142</v>
      </c>
      <c r="U31" s="10" t="s">
        <v>142</v>
      </c>
      <c r="V31" s="10" t="s">
        <v>142</v>
      </c>
      <c r="W31" s="10" t="s">
        <v>143</v>
      </c>
      <c r="X31" s="10" t="s">
        <v>143</v>
      </c>
      <c r="Y31" s="10" t="s">
        <v>145</v>
      </c>
      <c r="Z31" s="11" t="s">
        <v>145</v>
      </c>
      <c r="AA31" s="11" t="s">
        <v>146</v>
      </c>
      <c r="AB31" s="11" t="s">
        <v>146</v>
      </c>
      <c r="AC31" s="11" t="s">
        <v>142</v>
      </c>
      <c r="AD31" s="11" t="s">
        <v>142</v>
      </c>
      <c r="AE31" s="10" t="s">
        <v>142</v>
      </c>
      <c r="AF31" s="10" t="s">
        <v>142</v>
      </c>
      <c r="AG31" s="10" t="s">
        <v>142</v>
      </c>
      <c r="AH31" s="10" t="s">
        <v>142</v>
      </c>
      <c r="AI31" s="10" t="s">
        <v>143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</row>
    <row r="32" customFormat="false" ht="15" hidden="false" customHeight="false" outlineLevel="0" collapsed="false">
      <c r="A32" s="8" t="n">
        <f aca="false">Policías!A32</f>
        <v>128</v>
      </c>
      <c r="B32" s="9" t="str">
        <f aca="false">Policías!B32</f>
        <v>Concepción </v>
      </c>
      <c r="C32" s="9" t="str">
        <f aca="false">Policías!C32</f>
        <v>Policía</v>
      </c>
      <c r="D32" s="9" t="s">
        <v>33</v>
      </c>
      <c r="E32" s="10" t="s">
        <v>146</v>
      </c>
      <c r="F32" s="10" t="s">
        <v>146</v>
      </c>
      <c r="G32" s="10" t="s">
        <v>142</v>
      </c>
      <c r="H32" s="11" t="s">
        <v>142</v>
      </c>
      <c r="I32" s="11" t="s">
        <v>142</v>
      </c>
      <c r="J32" s="11" t="s">
        <v>142</v>
      </c>
      <c r="K32" s="11" t="s">
        <v>142</v>
      </c>
      <c r="L32" s="11" t="s">
        <v>142</v>
      </c>
      <c r="M32" s="10" t="s">
        <v>143</v>
      </c>
      <c r="N32" s="10" t="s">
        <v>143</v>
      </c>
      <c r="O32" s="10" t="s">
        <v>145</v>
      </c>
      <c r="P32" s="10" t="s">
        <v>145</v>
      </c>
      <c r="Q32" s="10" t="s">
        <v>146</v>
      </c>
      <c r="R32" s="10" t="s">
        <v>146</v>
      </c>
      <c r="S32" s="11" t="s">
        <v>142</v>
      </c>
      <c r="T32" s="11" t="s">
        <v>142</v>
      </c>
      <c r="U32" s="11" t="s">
        <v>142</v>
      </c>
      <c r="V32" s="11" t="s">
        <v>142</v>
      </c>
      <c r="W32" s="11" t="s">
        <v>142</v>
      </c>
      <c r="X32" s="10" t="s">
        <v>142</v>
      </c>
      <c r="Y32" s="10" t="s">
        <v>143</v>
      </c>
      <c r="Z32" s="10" t="s">
        <v>143</v>
      </c>
      <c r="AA32" s="10" t="s">
        <v>145</v>
      </c>
      <c r="AB32" s="10" t="s">
        <v>145</v>
      </c>
      <c r="AC32" s="10" t="s">
        <v>146</v>
      </c>
      <c r="AD32" s="11" t="s">
        <v>146</v>
      </c>
      <c r="AE32" s="11" t="s">
        <v>142</v>
      </c>
      <c r="AF32" s="11" t="s">
        <v>142</v>
      </c>
      <c r="AG32" s="11" t="s">
        <v>142</v>
      </c>
      <c r="AH32" s="11" t="s">
        <v>142</v>
      </c>
      <c r="AI32" s="10" t="s">
        <v>142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</row>
    <row r="33" customFormat="false" ht="15" hidden="false" customHeight="false" outlineLevel="0" collapsed="false">
      <c r="A33" s="8" t="n">
        <f aca="false">Policías!A33</f>
        <v>129</v>
      </c>
      <c r="B33" s="9" t="str">
        <f aca="false">Policías!B33</f>
        <v>Francisco </v>
      </c>
      <c r="C33" s="9" t="str">
        <f aca="false">Policías!C33</f>
        <v>Policía</v>
      </c>
      <c r="D33" s="9" t="s">
        <v>33</v>
      </c>
      <c r="E33" s="10" t="s">
        <v>146</v>
      </c>
      <c r="F33" s="10" t="s">
        <v>146</v>
      </c>
      <c r="G33" s="10" t="s">
        <v>142</v>
      </c>
      <c r="H33" s="11" t="s">
        <v>142</v>
      </c>
      <c r="I33" s="11" t="s">
        <v>142</v>
      </c>
      <c r="J33" s="11" t="s">
        <v>142</v>
      </c>
      <c r="K33" s="11" t="s">
        <v>142</v>
      </c>
      <c r="L33" s="11" t="s">
        <v>142</v>
      </c>
      <c r="M33" s="10" t="s">
        <v>143</v>
      </c>
      <c r="N33" s="10" t="s">
        <v>143</v>
      </c>
      <c r="O33" s="10" t="s">
        <v>145</v>
      </c>
      <c r="P33" s="10" t="s">
        <v>145</v>
      </c>
      <c r="Q33" s="10" t="s">
        <v>146</v>
      </c>
      <c r="R33" s="10" t="s">
        <v>146</v>
      </c>
      <c r="S33" s="11" t="s">
        <v>142</v>
      </c>
      <c r="T33" s="11" t="s">
        <v>142</v>
      </c>
      <c r="U33" s="11" t="s">
        <v>142</v>
      </c>
      <c r="V33" s="11" t="s">
        <v>142</v>
      </c>
      <c r="W33" s="11" t="s">
        <v>142</v>
      </c>
      <c r="X33" s="10" t="s">
        <v>142</v>
      </c>
      <c r="Y33" s="10" t="s">
        <v>143</v>
      </c>
      <c r="Z33" s="10" t="s">
        <v>143</v>
      </c>
      <c r="AA33" s="10" t="s">
        <v>145</v>
      </c>
      <c r="AB33" s="10" t="s">
        <v>145</v>
      </c>
      <c r="AC33" s="10" t="s">
        <v>146</v>
      </c>
      <c r="AD33" s="11" t="s">
        <v>146</v>
      </c>
      <c r="AE33" s="11" t="s">
        <v>142</v>
      </c>
      <c r="AF33" s="11" t="s">
        <v>142</v>
      </c>
      <c r="AG33" s="11" t="s">
        <v>142</v>
      </c>
      <c r="AH33" s="11" t="s">
        <v>142</v>
      </c>
      <c r="AI33" s="10" t="s">
        <v>142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</row>
    <row r="34" customFormat="false" ht="15" hidden="false" customHeight="false" outlineLevel="0" collapsed="false">
      <c r="A34" s="8" t="n">
        <f aca="false">Policías!A34</f>
        <v>130</v>
      </c>
      <c r="B34" s="9" t="str">
        <f aca="false">Policías!B34</f>
        <v>Antonio </v>
      </c>
      <c r="C34" s="9" t="str">
        <f aca="false">Policías!C34</f>
        <v>Policía</v>
      </c>
      <c r="D34" s="9" t="s">
        <v>35</v>
      </c>
      <c r="E34" s="10" t="s">
        <v>145</v>
      </c>
      <c r="F34" s="10" t="s">
        <v>145</v>
      </c>
      <c r="G34" s="11" t="s">
        <v>146</v>
      </c>
      <c r="H34" s="11" t="s">
        <v>146</v>
      </c>
      <c r="I34" s="11" t="s">
        <v>142</v>
      </c>
      <c r="J34" s="11" t="s">
        <v>142</v>
      </c>
      <c r="K34" s="11" t="s">
        <v>142</v>
      </c>
      <c r="L34" s="10" t="s">
        <v>142</v>
      </c>
      <c r="M34" s="10" t="s">
        <v>142</v>
      </c>
      <c r="N34" s="10" t="s">
        <v>142</v>
      </c>
      <c r="O34" s="10" t="s">
        <v>143</v>
      </c>
      <c r="P34" s="10" t="s">
        <v>143</v>
      </c>
      <c r="Q34" s="10" t="s">
        <v>145</v>
      </c>
      <c r="R34" s="11" t="s">
        <v>145</v>
      </c>
      <c r="S34" s="11" t="s">
        <v>146</v>
      </c>
      <c r="T34" s="11" t="s">
        <v>146</v>
      </c>
      <c r="U34" s="11" t="s">
        <v>142</v>
      </c>
      <c r="V34" s="11" t="s">
        <v>142</v>
      </c>
      <c r="W34" s="10" t="s">
        <v>142</v>
      </c>
      <c r="X34" s="10" t="s">
        <v>142</v>
      </c>
      <c r="Y34" s="10" t="s">
        <v>142</v>
      </c>
      <c r="Z34" s="10" t="s">
        <v>142</v>
      </c>
      <c r="AA34" s="10" t="s">
        <v>143</v>
      </c>
      <c r="AB34" s="10" t="s">
        <v>143</v>
      </c>
      <c r="AC34" s="11" t="s">
        <v>145</v>
      </c>
      <c r="AD34" s="11" t="s">
        <v>145</v>
      </c>
      <c r="AE34" s="11" t="s">
        <v>146</v>
      </c>
      <c r="AF34" s="11" t="s">
        <v>146</v>
      </c>
      <c r="AG34" s="11" t="s">
        <v>142</v>
      </c>
      <c r="AH34" s="10" t="s">
        <v>142</v>
      </c>
      <c r="AI34" s="10" t="s">
        <v>142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</row>
    <row r="35" customFormat="false" ht="15" hidden="false" customHeight="false" outlineLevel="0" collapsed="false">
      <c r="A35" s="8" t="n">
        <f aca="false">Policías!A35</f>
        <v>131</v>
      </c>
      <c r="B35" s="9" t="str">
        <f aca="false">Policías!B35</f>
        <v>Manuel Joaquín </v>
      </c>
      <c r="C35" s="9" t="str">
        <f aca="false">Policías!C35</f>
        <v>Policía</v>
      </c>
      <c r="D35" s="9" t="s">
        <v>23</v>
      </c>
      <c r="E35" s="11" t="s">
        <v>142</v>
      </c>
      <c r="F35" s="11" t="s">
        <v>142</v>
      </c>
      <c r="G35" s="11" t="s">
        <v>142</v>
      </c>
      <c r="H35" s="11" t="s">
        <v>142</v>
      </c>
      <c r="I35" s="10" t="s">
        <v>142</v>
      </c>
      <c r="J35" s="10" t="s">
        <v>142</v>
      </c>
      <c r="K35" s="10" t="s">
        <v>143</v>
      </c>
      <c r="L35" s="10" t="s">
        <v>143</v>
      </c>
      <c r="M35" s="10" t="s">
        <v>145</v>
      </c>
      <c r="N35" s="10" t="s">
        <v>145</v>
      </c>
      <c r="O35" s="11" t="s">
        <v>146</v>
      </c>
      <c r="P35" s="11" t="s">
        <v>146</v>
      </c>
      <c r="Q35" s="11" t="s">
        <v>142</v>
      </c>
      <c r="R35" s="11" t="s">
        <v>142</v>
      </c>
      <c r="S35" s="11" t="s">
        <v>142</v>
      </c>
      <c r="T35" s="10" t="s">
        <v>142</v>
      </c>
      <c r="U35" s="10" t="s">
        <v>142</v>
      </c>
      <c r="V35" s="10" t="s">
        <v>142</v>
      </c>
      <c r="W35" s="10" t="s">
        <v>143</v>
      </c>
      <c r="X35" s="10" t="s">
        <v>143</v>
      </c>
      <c r="Y35" s="10" t="s">
        <v>145</v>
      </c>
      <c r="Z35" s="11" t="s">
        <v>145</v>
      </c>
      <c r="AA35" s="11" t="s">
        <v>146</v>
      </c>
      <c r="AB35" s="11" t="s">
        <v>146</v>
      </c>
      <c r="AC35" s="11" t="s">
        <v>142</v>
      </c>
      <c r="AD35" s="11" t="s">
        <v>142</v>
      </c>
      <c r="AE35" s="10" t="s">
        <v>142</v>
      </c>
      <c r="AF35" s="10" t="s">
        <v>142</v>
      </c>
      <c r="AG35" s="10" t="s">
        <v>142</v>
      </c>
      <c r="AH35" s="10" t="s">
        <v>142</v>
      </c>
      <c r="AI35" s="10" t="s">
        <v>143</v>
      </c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</row>
    <row r="36" customFormat="false" ht="15" hidden="false" customHeight="false" outlineLevel="0" collapsed="false">
      <c r="A36" s="8" t="n">
        <f aca="false">Policías!A36</f>
        <v>132</v>
      </c>
      <c r="B36" s="9" t="str">
        <f aca="false">Policías!B36</f>
        <v>Juan Antonio </v>
      </c>
      <c r="C36" s="9" t="str">
        <f aca="false">Policías!C36</f>
        <v>Policía</v>
      </c>
      <c r="D36" s="9" t="s">
        <v>21</v>
      </c>
      <c r="E36" s="11" t="s">
        <v>142</v>
      </c>
      <c r="F36" s="11" t="s">
        <v>142</v>
      </c>
      <c r="G36" s="11" t="s">
        <v>142</v>
      </c>
      <c r="H36" s="11" t="s">
        <v>142</v>
      </c>
      <c r="I36" s="11" t="s">
        <v>143</v>
      </c>
      <c r="J36" s="10" t="s">
        <v>143</v>
      </c>
      <c r="K36" s="10" t="s">
        <v>145</v>
      </c>
      <c r="L36" s="10" t="s">
        <v>145</v>
      </c>
      <c r="M36" s="10" t="s">
        <v>146</v>
      </c>
      <c r="N36" s="10" t="s">
        <v>146</v>
      </c>
      <c r="O36" s="10" t="s">
        <v>142</v>
      </c>
      <c r="P36" s="11" t="s">
        <v>142</v>
      </c>
      <c r="Q36" s="11" t="s">
        <v>142</v>
      </c>
      <c r="R36" s="11" t="s">
        <v>142</v>
      </c>
      <c r="S36" s="11" t="s">
        <v>142</v>
      </c>
      <c r="T36" s="11" t="s">
        <v>142</v>
      </c>
      <c r="U36" s="10" t="s">
        <v>143</v>
      </c>
      <c r="V36" s="10" t="s">
        <v>143</v>
      </c>
      <c r="W36" s="10" t="s">
        <v>145</v>
      </c>
      <c r="X36" s="10" t="s">
        <v>145</v>
      </c>
      <c r="Y36" s="10" t="s">
        <v>146</v>
      </c>
      <c r="Z36" s="10" t="s">
        <v>146</v>
      </c>
      <c r="AA36" s="11" t="s">
        <v>142</v>
      </c>
      <c r="AB36" s="11" t="s">
        <v>142</v>
      </c>
      <c r="AC36" s="11" t="s">
        <v>142</v>
      </c>
      <c r="AD36" s="11" t="s">
        <v>142</v>
      </c>
      <c r="AE36" s="11" t="s">
        <v>142</v>
      </c>
      <c r="AF36" s="10" t="s">
        <v>142</v>
      </c>
      <c r="AG36" s="10" t="s">
        <v>143</v>
      </c>
      <c r="AH36" s="10" t="s">
        <v>143</v>
      </c>
      <c r="AI36" s="10" t="s">
        <v>145</v>
      </c>
      <c r="AJ36" s="12" t="s">
        <v>145</v>
      </c>
      <c r="AK36" s="12" t="s">
        <v>146</v>
      </c>
      <c r="AL36" s="12" t="s">
        <v>146</v>
      </c>
      <c r="AM36" s="11" t="s">
        <v>142</v>
      </c>
      <c r="AN36" s="11" t="s">
        <v>142</v>
      </c>
      <c r="AO36" s="11" t="s">
        <v>142</v>
      </c>
      <c r="AP36" s="11" t="s">
        <v>142</v>
      </c>
      <c r="AQ36" s="11" t="s">
        <v>142</v>
      </c>
      <c r="AR36" s="10" t="s">
        <v>142</v>
      </c>
      <c r="AS36" s="10" t="s">
        <v>143</v>
      </c>
      <c r="AT36" s="10" t="s">
        <v>143</v>
      </c>
      <c r="AU36" s="10" t="s">
        <v>145</v>
      </c>
      <c r="AV36" s="12" t="s">
        <v>145</v>
      </c>
      <c r="AW36" s="12" t="s">
        <v>146</v>
      </c>
      <c r="AX36" s="12" t="s">
        <v>146</v>
      </c>
      <c r="AY36" s="11" t="s">
        <v>142</v>
      </c>
      <c r="AZ36" s="11" t="s">
        <v>142</v>
      </c>
      <c r="BA36" s="11" t="s">
        <v>142</v>
      </c>
      <c r="BB36" s="11" t="s">
        <v>142</v>
      </c>
      <c r="BC36" s="11" t="s">
        <v>142</v>
      </c>
      <c r="BD36" s="10" t="s">
        <v>142</v>
      </c>
      <c r="BE36" s="10" t="s">
        <v>143</v>
      </c>
      <c r="BF36" s="10" t="s">
        <v>143</v>
      </c>
      <c r="BG36" s="10" t="s">
        <v>145</v>
      </c>
      <c r="BH36" s="12" t="s">
        <v>145</v>
      </c>
      <c r="BI36" s="12" t="s">
        <v>146</v>
      </c>
      <c r="BJ36" s="12" t="s">
        <v>146</v>
      </c>
      <c r="BK36" s="11" t="s">
        <v>142</v>
      </c>
      <c r="BL36" s="11" t="s">
        <v>142</v>
      </c>
      <c r="BM36" s="11" t="s">
        <v>142</v>
      </c>
    </row>
    <row r="37" customFormat="false" ht="15" hidden="false" customHeight="false" outlineLevel="0" collapsed="false">
      <c r="A37" s="8" t="n">
        <f aca="false">Policías!A37</f>
        <v>133</v>
      </c>
      <c r="B37" s="9" t="str">
        <f aca="false">Policías!B37</f>
        <v>Jose Manuel</v>
      </c>
      <c r="C37" s="9" t="str">
        <f aca="false">Policías!C37</f>
        <v>Policía</v>
      </c>
      <c r="D37" s="9"/>
      <c r="E37" s="15" t="s">
        <v>147</v>
      </c>
      <c r="F37" s="16" t="s">
        <v>143</v>
      </c>
      <c r="G37" s="16" t="s">
        <v>143</v>
      </c>
      <c r="H37" s="16" t="s">
        <v>145</v>
      </c>
      <c r="I37" s="16" t="s">
        <v>145</v>
      </c>
      <c r="J37" s="16" t="s">
        <v>146</v>
      </c>
      <c r="K37" s="16" t="s">
        <v>146</v>
      </c>
      <c r="L37" s="15" t="s">
        <v>147</v>
      </c>
      <c r="M37" s="15" t="s">
        <v>147</v>
      </c>
      <c r="N37" s="15" t="s">
        <v>147</v>
      </c>
      <c r="O37" s="15" t="s">
        <v>147</v>
      </c>
      <c r="P37" s="15" t="s">
        <v>147</v>
      </c>
      <c r="Q37" s="16" t="s">
        <v>143</v>
      </c>
      <c r="R37" s="16" t="s">
        <v>143</v>
      </c>
      <c r="S37" s="16" t="s">
        <v>145</v>
      </c>
      <c r="T37" s="16" t="s">
        <v>145</v>
      </c>
      <c r="U37" s="16" t="s">
        <v>146</v>
      </c>
      <c r="V37" s="16" t="s">
        <v>146</v>
      </c>
      <c r="W37" s="15" t="s">
        <v>147</v>
      </c>
      <c r="X37" s="15" t="s">
        <v>147</v>
      </c>
      <c r="Y37" s="15" t="s">
        <v>147</v>
      </c>
      <c r="Z37" s="15" t="s">
        <v>147</v>
      </c>
      <c r="AA37" s="15" t="s">
        <v>147</v>
      </c>
      <c r="AB37" s="16" t="s">
        <v>143</v>
      </c>
      <c r="AC37" s="16" t="s">
        <v>143</v>
      </c>
      <c r="AD37" s="16" t="s">
        <v>145</v>
      </c>
      <c r="AE37" s="16" t="s">
        <v>145</v>
      </c>
      <c r="AF37" s="16" t="s">
        <v>146</v>
      </c>
      <c r="AG37" s="16" t="s">
        <v>146</v>
      </c>
      <c r="AH37" s="15" t="s">
        <v>147</v>
      </c>
      <c r="AI37" s="15" t="s">
        <v>147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</row>
    <row r="38" customFormat="false" ht="15" hidden="false" customHeight="false" outlineLevel="0" collapsed="false">
      <c r="A38" s="8" t="n">
        <f aca="false">Policías!A38</f>
        <v>134</v>
      </c>
      <c r="B38" s="9" t="str">
        <f aca="false">Policías!B38</f>
        <v>José Antonio </v>
      </c>
      <c r="C38" s="9" t="str">
        <f aca="false">Policías!C38</f>
        <v>Policía</v>
      </c>
      <c r="D38" s="9" t="s">
        <v>21</v>
      </c>
      <c r="E38" s="11" t="s">
        <v>142</v>
      </c>
      <c r="F38" s="11" t="s">
        <v>142</v>
      </c>
      <c r="G38" s="11" t="s">
        <v>142</v>
      </c>
      <c r="H38" s="11" t="s">
        <v>142</v>
      </c>
      <c r="I38" s="11" t="s">
        <v>143</v>
      </c>
      <c r="J38" s="10" t="s">
        <v>143</v>
      </c>
      <c r="K38" s="10" t="s">
        <v>145</v>
      </c>
      <c r="L38" s="10" t="s">
        <v>145</v>
      </c>
      <c r="M38" s="10" t="s">
        <v>146</v>
      </c>
      <c r="N38" s="10" t="s">
        <v>146</v>
      </c>
      <c r="O38" s="10" t="s">
        <v>142</v>
      </c>
      <c r="P38" s="11" t="s">
        <v>142</v>
      </c>
      <c r="Q38" s="11" t="s">
        <v>142</v>
      </c>
      <c r="R38" s="11" t="s">
        <v>142</v>
      </c>
      <c r="S38" s="11" t="s">
        <v>142</v>
      </c>
      <c r="T38" s="11" t="s">
        <v>142</v>
      </c>
      <c r="U38" s="10" t="s">
        <v>143</v>
      </c>
      <c r="V38" s="10" t="s">
        <v>143</v>
      </c>
      <c r="W38" s="10" t="s">
        <v>145</v>
      </c>
      <c r="X38" s="10" t="s">
        <v>145</v>
      </c>
      <c r="Y38" s="10" t="s">
        <v>146</v>
      </c>
      <c r="Z38" s="10" t="s">
        <v>146</v>
      </c>
      <c r="AA38" s="11" t="s">
        <v>142</v>
      </c>
      <c r="AB38" s="11" t="s">
        <v>142</v>
      </c>
      <c r="AC38" s="11" t="s">
        <v>142</v>
      </c>
      <c r="AD38" s="11" t="s">
        <v>142</v>
      </c>
      <c r="AE38" s="11" t="s">
        <v>142</v>
      </c>
      <c r="AF38" s="10" t="s">
        <v>142</v>
      </c>
      <c r="AG38" s="10" t="s">
        <v>143</v>
      </c>
      <c r="AH38" s="10" t="s">
        <v>143</v>
      </c>
      <c r="AI38" s="10" t="s">
        <v>145</v>
      </c>
      <c r="AJ38" s="12" t="s">
        <v>145</v>
      </c>
      <c r="AK38" s="12" t="s">
        <v>146</v>
      </c>
      <c r="AL38" s="12" t="s">
        <v>146</v>
      </c>
      <c r="AM38" s="11" t="s">
        <v>142</v>
      </c>
      <c r="AN38" s="11" t="s">
        <v>142</v>
      </c>
      <c r="AO38" s="11" t="s">
        <v>142</v>
      </c>
      <c r="AP38" s="11" t="s">
        <v>142</v>
      </c>
      <c r="AQ38" s="11" t="s">
        <v>142</v>
      </c>
      <c r="AR38" s="10" t="s">
        <v>142</v>
      </c>
      <c r="AS38" s="10" t="s">
        <v>143</v>
      </c>
      <c r="AT38" s="10" t="s">
        <v>143</v>
      </c>
      <c r="AU38" s="10" t="s">
        <v>145</v>
      </c>
      <c r="AV38" s="12" t="s">
        <v>145</v>
      </c>
      <c r="AW38" s="12" t="s">
        <v>146</v>
      </c>
      <c r="AX38" s="12" t="s">
        <v>146</v>
      </c>
      <c r="AY38" s="11" t="s">
        <v>142</v>
      </c>
      <c r="AZ38" s="11" t="s">
        <v>142</v>
      </c>
      <c r="BA38" s="11" t="s">
        <v>142</v>
      </c>
      <c r="BB38" s="11" t="s">
        <v>142</v>
      </c>
      <c r="BC38" s="11" t="s">
        <v>142</v>
      </c>
      <c r="BD38" s="10" t="s">
        <v>142</v>
      </c>
      <c r="BE38" s="10" t="s">
        <v>143</v>
      </c>
      <c r="BF38" s="10" t="s">
        <v>143</v>
      </c>
      <c r="BG38" s="10" t="s">
        <v>145</v>
      </c>
      <c r="BH38" s="12" t="s">
        <v>145</v>
      </c>
      <c r="BI38" s="12" t="s">
        <v>146</v>
      </c>
      <c r="BJ38" s="12" t="s">
        <v>146</v>
      </c>
      <c r="BK38" s="11" t="s">
        <v>142</v>
      </c>
      <c r="BL38" s="11" t="s">
        <v>142</v>
      </c>
      <c r="BM38" s="11" t="s">
        <v>142</v>
      </c>
    </row>
    <row r="39" customFormat="false" ht="15" hidden="false" customHeight="false" outlineLevel="0" collapsed="false">
      <c r="A39" s="8" t="n">
        <f aca="false">Policías!A39</f>
        <v>135</v>
      </c>
      <c r="B39" s="9" t="str">
        <f aca="false">Policías!B39</f>
        <v>Yolanda</v>
      </c>
      <c r="C39" s="9" t="str">
        <f aca="false">Policías!C39</f>
        <v>Policía</v>
      </c>
      <c r="D39" s="9" t="s">
        <v>35</v>
      </c>
      <c r="E39" s="10" t="s">
        <v>145</v>
      </c>
      <c r="F39" s="10" t="s">
        <v>145</v>
      </c>
      <c r="G39" s="11" t="s">
        <v>146</v>
      </c>
      <c r="H39" s="11" t="s">
        <v>146</v>
      </c>
      <c r="I39" s="11" t="s">
        <v>142</v>
      </c>
      <c r="J39" s="11" t="s">
        <v>142</v>
      </c>
      <c r="K39" s="11" t="s">
        <v>142</v>
      </c>
      <c r="L39" s="10" t="s">
        <v>142</v>
      </c>
      <c r="M39" s="10" t="s">
        <v>142</v>
      </c>
      <c r="N39" s="10" t="s">
        <v>142</v>
      </c>
      <c r="O39" s="10" t="s">
        <v>143</v>
      </c>
      <c r="P39" s="10" t="s">
        <v>143</v>
      </c>
      <c r="Q39" s="10" t="s">
        <v>145</v>
      </c>
      <c r="R39" s="11" t="s">
        <v>145</v>
      </c>
      <c r="S39" s="11" t="s">
        <v>146</v>
      </c>
      <c r="T39" s="11" t="s">
        <v>146</v>
      </c>
      <c r="U39" s="11" t="s">
        <v>142</v>
      </c>
      <c r="V39" s="11" t="s">
        <v>142</v>
      </c>
      <c r="W39" s="10" t="s">
        <v>142</v>
      </c>
      <c r="X39" s="10" t="s">
        <v>142</v>
      </c>
      <c r="Y39" s="10" t="s">
        <v>142</v>
      </c>
      <c r="Z39" s="10" t="s">
        <v>142</v>
      </c>
      <c r="AA39" s="10" t="s">
        <v>143</v>
      </c>
      <c r="AB39" s="10" t="s">
        <v>143</v>
      </c>
      <c r="AC39" s="11" t="s">
        <v>145</v>
      </c>
      <c r="AD39" s="11" t="s">
        <v>145</v>
      </c>
      <c r="AE39" s="11" t="s">
        <v>146</v>
      </c>
      <c r="AF39" s="11" t="s">
        <v>146</v>
      </c>
      <c r="AG39" s="11" t="s">
        <v>142</v>
      </c>
      <c r="AH39" s="10" t="s">
        <v>142</v>
      </c>
      <c r="AI39" s="10" t="s">
        <v>142</v>
      </c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</row>
    <row r="40" customFormat="false" ht="15" hidden="false" customHeight="false" outlineLevel="0" collapsed="false">
      <c r="A40" s="8" t="n">
        <f aca="false">Policías!A40</f>
        <v>136</v>
      </c>
      <c r="B40" s="9" t="str">
        <f aca="false">Policías!B40</f>
        <v>Narciso </v>
      </c>
      <c r="C40" s="9" t="str">
        <f aca="false">Policías!C40</f>
        <v>Policía</v>
      </c>
      <c r="D40" s="9" t="s">
        <v>21</v>
      </c>
      <c r="E40" s="11" t="s">
        <v>142</v>
      </c>
      <c r="F40" s="11" t="s">
        <v>142</v>
      </c>
      <c r="G40" s="11" t="s">
        <v>142</v>
      </c>
      <c r="H40" s="11" t="s">
        <v>142</v>
      </c>
      <c r="I40" s="11" t="s">
        <v>143</v>
      </c>
      <c r="J40" s="10" t="s">
        <v>143</v>
      </c>
      <c r="K40" s="10" t="s">
        <v>145</v>
      </c>
      <c r="L40" s="10" t="s">
        <v>145</v>
      </c>
      <c r="M40" s="10" t="s">
        <v>146</v>
      </c>
      <c r="N40" s="10" t="s">
        <v>146</v>
      </c>
      <c r="O40" s="10" t="s">
        <v>142</v>
      </c>
      <c r="P40" s="11" t="s">
        <v>142</v>
      </c>
      <c r="Q40" s="11" t="s">
        <v>142</v>
      </c>
      <c r="R40" s="11" t="s">
        <v>142</v>
      </c>
      <c r="S40" s="11" t="s">
        <v>142</v>
      </c>
      <c r="T40" s="11" t="s">
        <v>142</v>
      </c>
      <c r="U40" s="10" t="s">
        <v>143</v>
      </c>
      <c r="V40" s="10" t="s">
        <v>143</v>
      </c>
      <c r="W40" s="10" t="s">
        <v>145</v>
      </c>
      <c r="X40" s="10" t="s">
        <v>145</v>
      </c>
      <c r="Y40" s="10" t="s">
        <v>146</v>
      </c>
      <c r="Z40" s="10" t="s">
        <v>146</v>
      </c>
      <c r="AA40" s="11" t="s">
        <v>142</v>
      </c>
      <c r="AB40" s="11" t="s">
        <v>142</v>
      </c>
      <c r="AC40" s="11" t="s">
        <v>142</v>
      </c>
      <c r="AD40" s="11" t="s">
        <v>142</v>
      </c>
      <c r="AE40" s="11" t="s">
        <v>142</v>
      </c>
      <c r="AF40" s="10" t="s">
        <v>142</v>
      </c>
      <c r="AG40" s="10" t="s">
        <v>143</v>
      </c>
      <c r="AH40" s="10" t="s">
        <v>143</v>
      </c>
      <c r="AI40" s="10" t="s">
        <v>145</v>
      </c>
      <c r="AJ40" s="12" t="s">
        <v>145</v>
      </c>
      <c r="AK40" s="12" t="s">
        <v>146</v>
      </c>
      <c r="AL40" s="12" t="s">
        <v>146</v>
      </c>
      <c r="AM40" s="11" t="s">
        <v>142</v>
      </c>
      <c r="AN40" s="11" t="s">
        <v>142</v>
      </c>
      <c r="AO40" s="11" t="s">
        <v>142</v>
      </c>
      <c r="AP40" s="11" t="s">
        <v>142</v>
      </c>
      <c r="AQ40" s="11" t="s">
        <v>142</v>
      </c>
      <c r="AR40" s="10" t="s">
        <v>142</v>
      </c>
      <c r="AS40" s="10" t="s">
        <v>143</v>
      </c>
      <c r="AT40" s="10" t="s">
        <v>143</v>
      </c>
      <c r="AU40" s="10" t="s">
        <v>145</v>
      </c>
      <c r="AV40" s="12" t="s">
        <v>145</v>
      </c>
      <c r="AW40" s="12" t="s">
        <v>146</v>
      </c>
      <c r="AX40" s="12" t="s">
        <v>146</v>
      </c>
      <c r="AY40" s="11" t="s">
        <v>142</v>
      </c>
      <c r="AZ40" s="11" t="s">
        <v>142</v>
      </c>
      <c r="BA40" s="11" t="s">
        <v>142</v>
      </c>
      <c r="BB40" s="11" t="s">
        <v>142</v>
      </c>
      <c r="BC40" s="11" t="s">
        <v>142</v>
      </c>
      <c r="BD40" s="10" t="s">
        <v>142</v>
      </c>
      <c r="BE40" s="10" t="s">
        <v>143</v>
      </c>
      <c r="BF40" s="10" t="s">
        <v>143</v>
      </c>
      <c r="BG40" s="10" t="s">
        <v>145</v>
      </c>
      <c r="BH40" s="12" t="s">
        <v>145</v>
      </c>
      <c r="BI40" s="12" t="s">
        <v>146</v>
      </c>
      <c r="BJ40" s="12" t="s">
        <v>146</v>
      </c>
      <c r="BK40" s="11" t="s">
        <v>142</v>
      </c>
      <c r="BL40" s="11" t="s">
        <v>142</v>
      </c>
      <c r="BM40" s="11" t="s">
        <v>142</v>
      </c>
    </row>
    <row r="41" customFormat="false" ht="15" hidden="false" customHeight="false" outlineLevel="0" collapsed="false">
      <c r="A41" s="8" t="n">
        <f aca="false">Policías!A41</f>
        <v>137</v>
      </c>
      <c r="B41" s="9" t="str">
        <f aca="false">Policías!B41</f>
        <v>José Díaz </v>
      </c>
      <c r="C41" s="9" t="str">
        <f aca="false">Policías!C41</f>
        <v>Policía</v>
      </c>
      <c r="D41" s="9" t="s">
        <v>33</v>
      </c>
      <c r="E41" s="10" t="s">
        <v>146</v>
      </c>
      <c r="F41" s="10" t="s">
        <v>146</v>
      </c>
      <c r="G41" s="10" t="s">
        <v>142</v>
      </c>
      <c r="H41" s="11" t="s">
        <v>142</v>
      </c>
      <c r="I41" s="11" t="s">
        <v>142</v>
      </c>
      <c r="J41" s="11" t="s">
        <v>142</v>
      </c>
      <c r="K41" s="11" t="s">
        <v>142</v>
      </c>
      <c r="L41" s="11" t="s">
        <v>142</v>
      </c>
      <c r="M41" s="10" t="s">
        <v>143</v>
      </c>
      <c r="N41" s="10" t="s">
        <v>143</v>
      </c>
      <c r="O41" s="10" t="s">
        <v>145</v>
      </c>
      <c r="P41" s="10" t="s">
        <v>145</v>
      </c>
      <c r="Q41" s="10" t="s">
        <v>146</v>
      </c>
      <c r="R41" s="10" t="s">
        <v>146</v>
      </c>
      <c r="S41" s="11" t="s">
        <v>142</v>
      </c>
      <c r="T41" s="11" t="s">
        <v>142</v>
      </c>
      <c r="U41" s="11" t="s">
        <v>142</v>
      </c>
      <c r="V41" s="11" t="s">
        <v>142</v>
      </c>
      <c r="W41" s="11" t="s">
        <v>142</v>
      </c>
      <c r="X41" s="10" t="s">
        <v>142</v>
      </c>
      <c r="Y41" s="10" t="s">
        <v>143</v>
      </c>
      <c r="Z41" s="10" t="s">
        <v>143</v>
      </c>
      <c r="AA41" s="10" t="s">
        <v>145</v>
      </c>
      <c r="AB41" s="10" t="s">
        <v>145</v>
      </c>
      <c r="AC41" s="10" t="s">
        <v>146</v>
      </c>
      <c r="AD41" s="11" t="s">
        <v>146</v>
      </c>
      <c r="AE41" s="11" t="s">
        <v>142</v>
      </c>
      <c r="AF41" s="11" t="s">
        <v>142</v>
      </c>
      <c r="AG41" s="11" t="s">
        <v>142</v>
      </c>
      <c r="AH41" s="11" t="s">
        <v>142</v>
      </c>
      <c r="AI41" s="10" t="s">
        <v>142</v>
      </c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</row>
    <row r="42" customFormat="false" ht="15" hidden="false" customHeight="false" outlineLevel="0" collapsed="false">
      <c r="A42" s="8" t="n">
        <f aca="false">Policías!A42</f>
        <v>138</v>
      </c>
      <c r="B42" s="9" t="str">
        <f aca="false">Policías!B42</f>
        <v>Fernando </v>
      </c>
      <c r="C42" s="9" t="str">
        <f aca="false">Policías!C42</f>
        <v>Policía</v>
      </c>
      <c r="D42" s="9" t="s">
        <v>35</v>
      </c>
      <c r="E42" s="10" t="s">
        <v>145</v>
      </c>
      <c r="F42" s="10" t="s">
        <v>145</v>
      </c>
      <c r="G42" s="11" t="s">
        <v>146</v>
      </c>
      <c r="H42" s="11" t="s">
        <v>146</v>
      </c>
      <c r="I42" s="11" t="s">
        <v>142</v>
      </c>
      <c r="J42" s="11" t="s">
        <v>142</v>
      </c>
      <c r="K42" s="11" t="s">
        <v>142</v>
      </c>
      <c r="L42" s="10" t="s">
        <v>142</v>
      </c>
      <c r="M42" s="10" t="s">
        <v>142</v>
      </c>
      <c r="N42" s="10" t="s">
        <v>142</v>
      </c>
      <c r="O42" s="10" t="s">
        <v>143</v>
      </c>
      <c r="P42" s="10" t="s">
        <v>143</v>
      </c>
      <c r="Q42" s="10" t="s">
        <v>145</v>
      </c>
      <c r="R42" s="11" t="s">
        <v>145</v>
      </c>
      <c r="S42" s="11" t="s">
        <v>146</v>
      </c>
      <c r="T42" s="11" t="s">
        <v>146</v>
      </c>
      <c r="U42" s="11" t="s">
        <v>142</v>
      </c>
      <c r="V42" s="11" t="s">
        <v>142</v>
      </c>
      <c r="W42" s="10" t="s">
        <v>142</v>
      </c>
      <c r="X42" s="10" t="s">
        <v>142</v>
      </c>
      <c r="Y42" s="10" t="s">
        <v>142</v>
      </c>
      <c r="Z42" s="10" t="s">
        <v>142</v>
      </c>
      <c r="AA42" s="10" t="s">
        <v>143</v>
      </c>
      <c r="AB42" s="10" t="s">
        <v>143</v>
      </c>
      <c r="AC42" s="11" t="s">
        <v>145</v>
      </c>
      <c r="AD42" s="11" t="s">
        <v>145</v>
      </c>
      <c r="AE42" s="11" t="s">
        <v>146</v>
      </c>
      <c r="AF42" s="11" t="s">
        <v>146</v>
      </c>
      <c r="AG42" s="11" t="s">
        <v>142</v>
      </c>
      <c r="AH42" s="10" t="s">
        <v>142</v>
      </c>
      <c r="AI42" s="10" t="s">
        <v>142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</row>
    <row r="43" customFormat="false" ht="15" hidden="false" customHeight="false" outlineLevel="0" collapsed="false">
      <c r="A43" s="8" t="n">
        <f aca="false">Policías!A43</f>
        <v>139</v>
      </c>
      <c r="B43" s="9" t="str">
        <f aca="false">Policías!B43</f>
        <v>Juan </v>
      </c>
      <c r="C43" s="9" t="str">
        <f aca="false">Policías!C43</f>
        <v>Policía</v>
      </c>
      <c r="D43" s="9" t="s">
        <v>23</v>
      </c>
      <c r="E43" s="11" t="s">
        <v>142</v>
      </c>
      <c r="F43" s="11" t="s">
        <v>142</v>
      </c>
      <c r="G43" s="11" t="s">
        <v>142</v>
      </c>
      <c r="H43" s="11" t="s">
        <v>142</v>
      </c>
      <c r="I43" s="10" t="s">
        <v>142</v>
      </c>
      <c r="J43" s="10" t="s">
        <v>142</v>
      </c>
      <c r="K43" s="10" t="s">
        <v>143</v>
      </c>
      <c r="L43" s="10" t="s">
        <v>143</v>
      </c>
      <c r="M43" s="10" t="s">
        <v>145</v>
      </c>
      <c r="N43" s="10" t="s">
        <v>145</v>
      </c>
      <c r="O43" s="11" t="s">
        <v>146</v>
      </c>
      <c r="P43" s="11" t="s">
        <v>146</v>
      </c>
      <c r="Q43" s="11" t="s">
        <v>142</v>
      </c>
      <c r="R43" s="11" t="s">
        <v>142</v>
      </c>
      <c r="S43" s="11" t="s">
        <v>142</v>
      </c>
      <c r="T43" s="10" t="s">
        <v>142</v>
      </c>
      <c r="U43" s="10" t="s">
        <v>142</v>
      </c>
      <c r="V43" s="10" t="s">
        <v>142</v>
      </c>
      <c r="W43" s="10" t="s">
        <v>143</v>
      </c>
      <c r="X43" s="10" t="s">
        <v>143</v>
      </c>
      <c r="Y43" s="10" t="s">
        <v>145</v>
      </c>
      <c r="Z43" s="11" t="s">
        <v>145</v>
      </c>
      <c r="AA43" s="11" t="s">
        <v>146</v>
      </c>
      <c r="AB43" s="11" t="s">
        <v>146</v>
      </c>
      <c r="AC43" s="11" t="s">
        <v>142</v>
      </c>
      <c r="AD43" s="11" t="s">
        <v>142</v>
      </c>
      <c r="AE43" s="10" t="s">
        <v>142</v>
      </c>
      <c r="AF43" s="10" t="s">
        <v>142</v>
      </c>
      <c r="AG43" s="10" t="s">
        <v>142</v>
      </c>
      <c r="AH43" s="10" t="s">
        <v>142</v>
      </c>
      <c r="AI43" s="10" t="s">
        <v>143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</row>
    <row r="44" customFormat="false" ht="15" hidden="false" customHeight="false" outlineLevel="0" collapsed="false">
      <c r="A44" s="8" t="n">
        <f aca="false">Policías!A44</f>
        <v>140</v>
      </c>
      <c r="B44" s="9" t="str">
        <f aca="false">Policías!B44</f>
        <v>Gonzalez </v>
      </c>
      <c r="C44" s="9" t="str">
        <f aca="false">Policías!C44</f>
        <v>Policía</v>
      </c>
      <c r="D44" s="9" t="s">
        <v>17</v>
      </c>
      <c r="E44" s="11" t="s">
        <v>142</v>
      </c>
      <c r="F44" s="11" t="s">
        <v>142</v>
      </c>
      <c r="G44" s="11" t="s">
        <v>143</v>
      </c>
      <c r="H44" s="11" t="s">
        <v>143</v>
      </c>
      <c r="I44" s="11" t="s">
        <v>145</v>
      </c>
      <c r="J44" s="11" t="s">
        <v>145</v>
      </c>
      <c r="K44" s="11" t="s">
        <v>146</v>
      </c>
      <c r="L44" s="10" t="s">
        <v>146</v>
      </c>
      <c r="M44" s="10" t="s">
        <v>142</v>
      </c>
      <c r="N44" s="10" t="s">
        <v>142</v>
      </c>
      <c r="O44" s="10" t="s">
        <v>142</v>
      </c>
      <c r="P44" s="10" t="s">
        <v>142</v>
      </c>
      <c r="Q44" s="10" t="s">
        <v>142</v>
      </c>
      <c r="R44" s="11" t="s">
        <v>142</v>
      </c>
      <c r="S44" s="11" t="s">
        <v>142</v>
      </c>
      <c r="T44" s="11" t="s">
        <v>142</v>
      </c>
      <c r="U44" s="11" t="s">
        <v>143</v>
      </c>
      <c r="V44" s="11" t="s">
        <v>143</v>
      </c>
      <c r="W44" s="11" t="s">
        <v>145</v>
      </c>
      <c r="X44" s="11" t="s">
        <v>145</v>
      </c>
      <c r="Y44" s="11" t="s">
        <v>146</v>
      </c>
      <c r="Z44" s="10" t="s">
        <v>146</v>
      </c>
      <c r="AA44" s="10" t="s">
        <v>142</v>
      </c>
      <c r="AB44" s="10" t="s">
        <v>142</v>
      </c>
      <c r="AC44" s="10" t="s">
        <v>142</v>
      </c>
      <c r="AD44" s="10" t="s">
        <v>142</v>
      </c>
      <c r="AE44" s="10" t="s">
        <v>142</v>
      </c>
      <c r="AF44" s="11" t="s">
        <v>142</v>
      </c>
      <c r="AG44" s="11" t="s">
        <v>143</v>
      </c>
      <c r="AH44" s="10" t="s">
        <v>143</v>
      </c>
      <c r="AI44" s="10" t="s">
        <v>145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</row>
    <row r="45" customFormat="false" ht="15" hidden="false" customHeight="false" outlineLevel="0" collapsed="false">
      <c r="A45" s="8" t="n">
        <f aca="false">Policías!A45</f>
        <v>141</v>
      </c>
      <c r="B45" s="9" t="str">
        <f aca="false">Policías!B45</f>
        <v>Diego José</v>
      </c>
      <c r="C45" s="9" t="str">
        <f aca="false">Policías!C45</f>
        <v>Policía</v>
      </c>
      <c r="D45" s="9" t="s">
        <v>17</v>
      </c>
      <c r="E45" s="11" t="s">
        <v>142</v>
      </c>
      <c r="F45" s="11" t="s">
        <v>142</v>
      </c>
      <c r="G45" s="11" t="s">
        <v>143</v>
      </c>
      <c r="H45" s="11" t="s">
        <v>143</v>
      </c>
      <c r="I45" s="11" t="s">
        <v>145</v>
      </c>
      <c r="J45" s="11" t="s">
        <v>145</v>
      </c>
      <c r="K45" s="11" t="s">
        <v>146</v>
      </c>
      <c r="L45" s="10" t="s">
        <v>146</v>
      </c>
      <c r="M45" s="10" t="s">
        <v>142</v>
      </c>
      <c r="N45" s="10" t="s">
        <v>142</v>
      </c>
      <c r="O45" s="10" t="s">
        <v>142</v>
      </c>
      <c r="P45" s="10" t="s">
        <v>142</v>
      </c>
      <c r="Q45" s="10" t="s">
        <v>142</v>
      </c>
      <c r="R45" s="11" t="s">
        <v>142</v>
      </c>
      <c r="S45" s="11" t="s">
        <v>142</v>
      </c>
      <c r="T45" s="11" t="s">
        <v>142</v>
      </c>
      <c r="U45" s="11" t="s">
        <v>143</v>
      </c>
      <c r="V45" s="11" t="s">
        <v>143</v>
      </c>
      <c r="W45" s="11" t="s">
        <v>145</v>
      </c>
      <c r="X45" s="11" t="s">
        <v>145</v>
      </c>
      <c r="Y45" s="11" t="s">
        <v>146</v>
      </c>
      <c r="Z45" s="10" t="s">
        <v>146</v>
      </c>
      <c r="AA45" s="10" t="s">
        <v>142</v>
      </c>
      <c r="AB45" s="10" t="s">
        <v>142</v>
      </c>
      <c r="AC45" s="10" t="s">
        <v>142</v>
      </c>
      <c r="AD45" s="10" t="s">
        <v>142</v>
      </c>
      <c r="AE45" s="10" t="s">
        <v>142</v>
      </c>
      <c r="AF45" s="11" t="s">
        <v>142</v>
      </c>
      <c r="AG45" s="11" t="s">
        <v>143</v>
      </c>
      <c r="AH45" s="10" t="s">
        <v>143</v>
      </c>
      <c r="AI45" s="10" t="s">
        <v>145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</row>
    <row r="46" customFormat="false" ht="15" hidden="false" customHeight="false" outlineLevel="0" collapsed="false">
      <c r="A46" s="8" t="n">
        <f aca="false">Policías!A46</f>
        <v>142</v>
      </c>
      <c r="B46" s="9" t="str">
        <f aca="false">Policías!B46</f>
        <v>Morales</v>
      </c>
      <c r="C46" s="9" t="str">
        <f aca="false">Policías!C46</f>
        <v>Policía</v>
      </c>
      <c r="D46" s="9" t="s">
        <v>33</v>
      </c>
      <c r="E46" s="10" t="s">
        <v>146</v>
      </c>
      <c r="F46" s="10" t="s">
        <v>146</v>
      </c>
      <c r="G46" s="10" t="s">
        <v>142</v>
      </c>
      <c r="H46" s="11" t="s">
        <v>142</v>
      </c>
      <c r="I46" s="11" t="s">
        <v>142</v>
      </c>
      <c r="J46" s="11" t="s">
        <v>142</v>
      </c>
      <c r="K46" s="11" t="s">
        <v>142</v>
      </c>
      <c r="L46" s="11" t="s">
        <v>142</v>
      </c>
      <c r="M46" s="10" t="s">
        <v>143</v>
      </c>
      <c r="N46" s="10" t="s">
        <v>143</v>
      </c>
      <c r="O46" s="10" t="s">
        <v>145</v>
      </c>
      <c r="P46" s="10" t="s">
        <v>145</v>
      </c>
      <c r="Q46" s="10" t="s">
        <v>146</v>
      </c>
      <c r="R46" s="10" t="s">
        <v>146</v>
      </c>
      <c r="S46" s="11" t="s">
        <v>142</v>
      </c>
      <c r="T46" s="11" t="s">
        <v>142</v>
      </c>
      <c r="U46" s="11" t="s">
        <v>142</v>
      </c>
      <c r="V46" s="11" t="s">
        <v>142</v>
      </c>
      <c r="W46" s="11" t="s">
        <v>142</v>
      </c>
      <c r="X46" s="10" t="s">
        <v>142</v>
      </c>
      <c r="Y46" s="10" t="s">
        <v>143</v>
      </c>
      <c r="Z46" s="10" t="s">
        <v>143</v>
      </c>
      <c r="AA46" s="10" t="s">
        <v>145</v>
      </c>
      <c r="AB46" s="10" t="s">
        <v>145</v>
      </c>
      <c r="AC46" s="10" t="s">
        <v>146</v>
      </c>
      <c r="AD46" s="11" t="s">
        <v>146</v>
      </c>
      <c r="AE46" s="11" t="s">
        <v>142</v>
      </c>
      <c r="AF46" s="11" t="s">
        <v>142</v>
      </c>
      <c r="AG46" s="11" t="s">
        <v>142</v>
      </c>
      <c r="AH46" s="11" t="s">
        <v>142</v>
      </c>
      <c r="AI46" s="10" t="s">
        <v>142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</row>
    <row r="47" customFormat="false" ht="15" hidden="false" customHeight="false" outlineLevel="0" collapsed="false">
      <c r="A47" s="8" t="n">
        <f aca="false">Policías!A47</f>
        <v>143</v>
      </c>
      <c r="B47" s="9" t="str">
        <f aca="false">Policías!B47</f>
        <v>Rafael</v>
      </c>
      <c r="C47" s="9" t="str">
        <f aca="false">Policías!C47</f>
        <v>Policía</v>
      </c>
      <c r="D47" s="9" t="s">
        <v>17</v>
      </c>
      <c r="E47" s="11" t="s">
        <v>142</v>
      </c>
      <c r="F47" s="11" t="s">
        <v>142</v>
      </c>
      <c r="G47" s="11" t="s">
        <v>143</v>
      </c>
      <c r="H47" s="11" t="s">
        <v>143</v>
      </c>
      <c r="I47" s="11" t="s">
        <v>145</v>
      </c>
      <c r="J47" s="11" t="s">
        <v>145</v>
      </c>
      <c r="K47" s="11" t="s">
        <v>146</v>
      </c>
      <c r="L47" s="10" t="s">
        <v>146</v>
      </c>
      <c r="M47" s="10" t="s">
        <v>142</v>
      </c>
      <c r="N47" s="10" t="s">
        <v>142</v>
      </c>
      <c r="O47" s="10" t="s">
        <v>142</v>
      </c>
      <c r="P47" s="10" t="s">
        <v>142</v>
      </c>
      <c r="Q47" s="10" t="s">
        <v>142</v>
      </c>
      <c r="R47" s="11" t="s">
        <v>142</v>
      </c>
      <c r="S47" s="11" t="s">
        <v>142</v>
      </c>
      <c r="T47" s="11" t="s">
        <v>142</v>
      </c>
      <c r="U47" s="11" t="s">
        <v>143</v>
      </c>
      <c r="V47" s="11" t="s">
        <v>143</v>
      </c>
      <c r="W47" s="11" t="s">
        <v>145</v>
      </c>
      <c r="X47" s="11" t="s">
        <v>145</v>
      </c>
      <c r="Y47" s="11" t="s">
        <v>146</v>
      </c>
      <c r="Z47" s="10" t="s">
        <v>146</v>
      </c>
      <c r="AA47" s="10" t="s">
        <v>142</v>
      </c>
      <c r="AB47" s="10" t="s">
        <v>142</v>
      </c>
      <c r="AC47" s="10" t="s">
        <v>142</v>
      </c>
      <c r="AD47" s="10" t="s">
        <v>142</v>
      </c>
      <c r="AE47" s="10" t="s">
        <v>142</v>
      </c>
      <c r="AF47" s="11" t="s">
        <v>142</v>
      </c>
      <c r="AG47" s="11" t="s">
        <v>143</v>
      </c>
      <c r="AH47" s="10" t="s">
        <v>143</v>
      </c>
      <c r="AI47" s="10" t="s">
        <v>145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</row>
    <row r="48" customFormat="false" ht="15" hidden="false" customHeight="false" outlineLevel="0" collapsed="false">
      <c r="A48" s="8" t="n">
        <f aca="false">Policías!A48</f>
        <v>144</v>
      </c>
      <c r="B48" s="9" t="str">
        <f aca="false">Policías!B48</f>
        <v>Moisés </v>
      </c>
      <c r="C48" s="9" t="str">
        <f aca="false">Policías!C48</f>
        <v>Policía</v>
      </c>
      <c r="D48" s="9" t="s">
        <v>17</v>
      </c>
      <c r="E48" s="11" t="s">
        <v>142</v>
      </c>
      <c r="F48" s="11" t="s">
        <v>142</v>
      </c>
      <c r="G48" s="11" t="s">
        <v>143</v>
      </c>
      <c r="H48" s="11" t="s">
        <v>143</v>
      </c>
      <c r="I48" s="11" t="s">
        <v>145</v>
      </c>
      <c r="J48" s="11" t="s">
        <v>145</v>
      </c>
      <c r="K48" s="11" t="s">
        <v>146</v>
      </c>
      <c r="L48" s="10" t="s">
        <v>146</v>
      </c>
      <c r="M48" s="10" t="s">
        <v>142</v>
      </c>
      <c r="N48" s="10" t="s">
        <v>142</v>
      </c>
      <c r="O48" s="10" t="s">
        <v>142</v>
      </c>
      <c r="P48" s="10" t="s">
        <v>142</v>
      </c>
      <c r="Q48" s="10" t="s">
        <v>142</v>
      </c>
      <c r="R48" s="11" t="s">
        <v>142</v>
      </c>
      <c r="S48" s="11" t="s">
        <v>142</v>
      </c>
      <c r="T48" s="11" t="s">
        <v>142</v>
      </c>
      <c r="U48" s="11" t="s">
        <v>143</v>
      </c>
      <c r="V48" s="11" t="s">
        <v>143</v>
      </c>
      <c r="W48" s="11" t="s">
        <v>145</v>
      </c>
      <c r="X48" s="11" t="s">
        <v>145</v>
      </c>
      <c r="Y48" s="11" t="s">
        <v>146</v>
      </c>
      <c r="Z48" s="10" t="s">
        <v>146</v>
      </c>
      <c r="AA48" s="10" t="s">
        <v>142</v>
      </c>
      <c r="AB48" s="10" t="s">
        <v>142</v>
      </c>
      <c r="AC48" s="10" t="s">
        <v>142</v>
      </c>
      <c r="AD48" s="10" t="s">
        <v>142</v>
      </c>
      <c r="AE48" s="10" t="s">
        <v>142</v>
      </c>
      <c r="AF48" s="11" t="s">
        <v>142</v>
      </c>
      <c r="AG48" s="11" t="s">
        <v>143</v>
      </c>
      <c r="AH48" s="10" t="s">
        <v>143</v>
      </c>
      <c r="AI48" s="10" t="s">
        <v>145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</row>
    <row r="49" customFormat="false" ht="15" hidden="false" customHeight="false" outlineLevel="0" collapsed="false">
      <c r="A49" s="8" t="n">
        <f aca="false">Policías!A49</f>
        <v>145</v>
      </c>
      <c r="B49" s="9" t="str">
        <f aca="false">Policías!B49</f>
        <v>Delgado</v>
      </c>
      <c r="C49" s="9" t="str">
        <f aca="false">Policías!C49</f>
        <v>Policía</v>
      </c>
      <c r="D49" s="9" t="s">
        <v>21</v>
      </c>
      <c r="E49" s="11" t="s">
        <v>142</v>
      </c>
      <c r="F49" s="11" t="s">
        <v>142</v>
      </c>
      <c r="G49" s="11" t="s">
        <v>142</v>
      </c>
      <c r="H49" s="11" t="s">
        <v>142</v>
      </c>
      <c r="I49" s="11" t="s">
        <v>143</v>
      </c>
      <c r="J49" s="10" t="s">
        <v>143</v>
      </c>
      <c r="K49" s="10" t="s">
        <v>145</v>
      </c>
      <c r="L49" s="10" t="s">
        <v>145</v>
      </c>
      <c r="M49" s="10" t="s">
        <v>146</v>
      </c>
      <c r="N49" s="10" t="s">
        <v>146</v>
      </c>
      <c r="O49" s="10" t="s">
        <v>142</v>
      </c>
      <c r="P49" s="11" t="s">
        <v>142</v>
      </c>
      <c r="Q49" s="11" t="s">
        <v>142</v>
      </c>
      <c r="R49" s="11" t="s">
        <v>142</v>
      </c>
      <c r="S49" s="11" t="s">
        <v>142</v>
      </c>
      <c r="T49" s="11" t="s">
        <v>142</v>
      </c>
      <c r="U49" s="10" t="s">
        <v>143</v>
      </c>
      <c r="V49" s="10" t="s">
        <v>143</v>
      </c>
      <c r="W49" s="10" t="s">
        <v>145</v>
      </c>
      <c r="X49" s="10" t="s">
        <v>145</v>
      </c>
      <c r="Y49" s="10" t="s">
        <v>146</v>
      </c>
      <c r="Z49" s="10" t="s">
        <v>146</v>
      </c>
      <c r="AA49" s="11" t="s">
        <v>142</v>
      </c>
      <c r="AB49" s="11" t="s">
        <v>142</v>
      </c>
      <c r="AC49" s="11" t="s">
        <v>142</v>
      </c>
      <c r="AD49" s="11" t="s">
        <v>142</v>
      </c>
      <c r="AE49" s="11" t="s">
        <v>142</v>
      </c>
      <c r="AF49" s="10" t="s">
        <v>142</v>
      </c>
      <c r="AG49" s="10" t="s">
        <v>143</v>
      </c>
      <c r="AH49" s="10" t="s">
        <v>143</v>
      </c>
      <c r="AI49" s="10" t="s">
        <v>145</v>
      </c>
      <c r="AJ49" s="12" t="s">
        <v>145</v>
      </c>
      <c r="AK49" s="12" t="s">
        <v>146</v>
      </c>
      <c r="AL49" s="12" t="s">
        <v>146</v>
      </c>
      <c r="AM49" s="11" t="s">
        <v>142</v>
      </c>
      <c r="AN49" s="11" t="s">
        <v>142</v>
      </c>
      <c r="AO49" s="11" t="s">
        <v>142</v>
      </c>
      <c r="AP49" s="11" t="s">
        <v>142</v>
      </c>
      <c r="AQ49" s="11" t="s">
        <v>142</v>
      </c>
      <c r="AR49" s="10" t="s">
        <v>142</v>
      </c>
      <c r="AS49" s="10" t="s">
        <v>143</v>
      </c>
      <c r="AT49" s="10" t="s">
        <v>143</v>
      </c>
      <c r="AU49" s="10" t="s">
        <v>145</v>
      </c>
      <c r="AV49" s="12" t="s">
        <v>145</v>
      </c>
      <c r="AW49" s="12" t="s">
        <v>146</v>
      </c>
      <c r="AX49" s="12" t="s">
        <v>146</v>
      </c>
      <c r="AY49" s="11" t="s">
        <v>142</v>
      </c>
      <c r="AZ49" s="11" t="s">
        <v>142</v>
      </c>
      <c r="BA49" s="11" t="s">
        <v>142</v>
      </c>
      <c r="BB49" s="11" t="s">
        <v>142</v>
      </c>
      <c r="BC49" s="11" t="s">
        <v>142</v>
      </c>
      <c r="BD49" s="10" t="s">
        <v>142</v>
      </c>
      <c r="BE49" s="10" t="s">
        <v>143</v>
      </c>
      <c r="BF49" s="10" t="s">
        <v>143</v>
      </c>
      <c r="BG49" s="10" t="s">
        <v>145</v>
      </c>
      <c r="BH49" s="12" t="s">
        <v>145</v>
      </c>
      <c r="BI49" s="12" t="s">
        <v>146</v>
      </c>
      <c r="BJ49" s="12" t="s">
        <v>146</v>
      </c>
      <c r="BK49" s="11" t="s">
        <v>142</v>
      </c>
      <c r="BL49" s="11" t="s">
        <v>142</v>
      </c>
      <c r="BM49" s="11" t="s">
        <v>142</v>
      </c>
    </row>
    <row r="50" customFormat="false" ht="15" hidden="false" customHeight="false" outlineLevel="0" collapsed="false">
      <c r="A50" s="8" t="n">
        <f aca="false">Policías!A50</f>
        <v>146</v>
      </c>
      <c r="B50" s="9" t="str">
        <f aca="false">Policías!B50</f>
        <v>Juan Pedro</v>
      </c>
      <c r="C50" s="9" t="str">
        <f aca="false">Policías!C50</f>
        <v>Policía</v>
      </c>
      <c r="D50" s="9" t="s">
        <v>21</v>
      </c>
      <c r="E50" s="11" t="s">
        <v>142</v>
      </c>
      <c r="F50" s="11" t="s">
        <v>142</v>
      </c>
      <c r="G50" s="11" t="s">
        <v>142</v>
      </c>
      <c r="H50" s="11" t="s">
        <v>142</v>
      </c>
      <c r="I50" s="11" t="s">
        <v>143</v>
      </c>
      <c r="J50" s="10" t="s">
        <v>143</v>
      </c>
      <c r="K50" s="10" t="s">
        <v>145</v>
      </c>
      <c r="L50" s="10" t="s">
        <v>145</v>
      </c>
      <c r="M50" s="10" t="s">
        <v>146</v>
      </c>
      <c r="N50" s="10" t="s">
        <v>146</v>
      </c>
      <c r="O50" s="10" t="s">
        <v>142</v>
      </c>
      <c r="P50" s="11" t="s">
        <v>142</v>
      </c>
      <c r="Q50" s="11" t="s">
        <v>142</v>
      </c>
      <c r="R50" s="11" t="s">
        <v>142</v>
      </c>
      <c r="S50" s="11" t="s">
        <v>142</v>
      </c>
      <c r="T50" s="11" t="s">
        <v>142</v>
      </c>
      <c r="U50" s="10" t="s">
        <v>143</v>
      </c>
      <c r="V50" s="10" t="s">
        <v>143</v>
      </c>
      <c r="W50" s="10" t="s">
        <v>145</v>
      </c>
      <c r="X50" s="10" t="s">
        <v>145</v>
      </c>
      <c r="Y50" s="10" t="s">
        <v>146</v>
      </c>
      <c r="Z50" s="10" t="s">
        <v>146</v>
      </c>
      <c r="AA50" s="11" t="s">
        <v>142</v>
      </c>
      <c r="AB50" s="11" t="s">
        <v>142</v>
      </c>
      <c r="AC50" s="11" t="s">
        <v>142</v>
      </c>
      <c r="AD50" s="11" t="s">
        <v>142</v>
      </c>
      <c r="AE50" s="11" t="s">
        <v>142</v>
      </c>
      <c r="AF50" s="10" t="s">
        <v>142</v>
      </c>
      <c r="AG50" s="10" t="s">
        <v>143</v>
      </c>
      <c r="AH50" s="10" t="s">
        <v>143</v>
      </c>
      <c r="AI50" s="10" t="s">
        <v>145</v>
      </c>
      <c r="AJ50" s="12" t="s">
        <v>145</v>
      </c>
      <c r="AK50" s="12" t="s">
        <v>146</v>
      </c>
      <c r="AL50" s="12" t="s">
        <v>146</v>
      </c>
      <c r="AM50" s="11" t="s">
        <v>142</v>
      </c>
      <c r="AN50" s="11" t="s">
        <v>142</v>
      </c>
      <c r="AO50" s="11" t="s">
        <v>142</v>
      </c>
      <c r="AP50" s="11" t="s">
        <v>142</v>
      </c>
      <c r="AQ50" s="11" t="s">
        <v>142</v>
      </c>
      <c r="AR50" s="10" t="s">
        <v>142</v>
      </c>
      <c r="AS50" s="10" t="s">
        <v>143</v>
      </c>
      <c r="AT50" s="10" t="s">
        <v>143</v>
      </c>
      <c r="AU50" s="10" t="s">
        <v>145</v>
      </c>
      <c r="AV50" s="12" t="s">
        <v>145</v>
      </c>
      <c r="AW50" s="12" t="s">
        <v>146</v>
      </c>
      <c r="AX50" s="12" t="s">
        <v>146</v>
      </c>
      <c r="AY50" s="11" t="s">
        <v>142</v>
      </c>
      <c r="AZ50" s="11" t="s">
        <v>142</v>
      </c>
      <c r="BA50" s="11" t="s">
        <v>142</v>
      </c>
      <c r="BB50" s="11" t="s">
        <v>142</v>
      </c>
      <c r="BC50" s="11" t="s">
        <v>142</v>
      </c>
      <c r="BD50" s="10" t="s">
        <v>142</v>
      </c>
      <c r="BE50" s="10" t="s">
        <v>143</v>
      </c>
      <c r="BF50" s="10" t="s">
        <v>143</v>
      </c>
      <c r="BG50" s="10" t="s">
        <v>145</v>
      </c>
      <c r="BH50" s="12" t="s">
        <v>145</v>
      </c>
      <c r="BI50" s="12" t="s">
        <v>146</v>
      </c>
      <c r="BJ50" s="12" t="s">
        <v>146</v>
      </c>
      <c r="BK50" s="11" t="s">
        <v>142</v>
      </c>
      <c r="BL50" s="11" t="s">
        <v>142</v>
      </c>
      <c r="BM50" s="11" t="s">
        <v>142</v>
      </c>
    </row>
    <row r="51" customFormat="false" ht="15" hidden="false" customHeight="false" outlineLevel="0" collapsed="false">
      <c r="A51" s="8" t="n">
        <f aca="false">Policías!A51</f>
        <v>147</v>
      </c>
      <c r="B51" s="9" t="str">
        <f aca="false">Policías!B51</f>
        <v>Jose Manuel</v>
      </c>
      <c r="C51" s="9" t="str">
        <f aca="false">Policías!C51</f>
        <v>Policía</v>
      </c>
      <c r="D51" s="9" t="s">
        <v>21</v>
      </c>
      <c r="E51" s="11" t="s">
        <v>142</v>
      </c>
      <c r="F51" s="11" t="s">
        <v>142</v>
      </c>
      <c r="G51" s="11" t="s">
        <v>142</v>
      </c>
      <c r="H51" s="11" t="s">
        <v>142</v>
      </c>
      <c r="I51" s="11" t="s">
        <v>143</v>
      </c>
      <c r="J51" s="10" t="s">
        <v>143</v>
      </c>
      <c r="K51" s="10" t="s">
        <v>145</v>
      </c>
      <c r="L51" s="10" t="s">
        <v>145</v>
      </c>
      <c r="M51" s="10" t="s">
        <v>146</v>
      </c>
      <c r="N51" s="10" t="s">
        <v>146</v>
      </c>
      <c r="O51" s="10" t="s">
        <v>142</v>
      </c>
      <c r="P51" s="11" t="s">
        <v>142</v>
      </c>
      <c r="Q51" s="11" t="s">
        <v>142</v>
      </c>
      <c r="R51" s="11" t="s">
        <v>142</v>
      </c>
      <c r="S51" s="11" t="s">
        <v>142</v>
      </c>
      <c r="T51" s="11" t="s">
        <v>142</v>
      </c>
      <c r="U51" s="10" t="s">
        <v>143</v>
      </c>
      <c r="V51" s="10" t="s">
        <v>143</v>
      </c>
      <c r="W51" s="10" t="s">
        <v>145</v>
      </c>
      <c r="X51" s="10" t="s">
        <v>145</v>
      </c>
      <c r="Y51" s="10" t="s">
        <v>146</v>
      </c>
      <c r="Z51" s="10" t="s">
        <v>146</v>
      </c>
      <c r="AA51" s="11" t="s">
        <v>142</v>
      </c>
      <c r="AB51" s="11" t="s">
        <v>142</v>
      </c>
      <c r="AC51" s="11" t="s">
        <v>142</v>
      </c>
      <c r="AD51" s="11" t="s">
        <v>142</v>
      </c>
      <c r="AE51" s="11" t="s">
        <v>142</v>
      </c>
      <c r="AF51" s="10" t="s">
        <v>142</v>
      </c>
      <c r="AG51" s="10" t="s">
        <v>143</v>
      </c>
      <c r="AH51" s="10" t="s">
        <v>143</v>
      </c>
      <c r="AI51" s="10" t="s">
        <v>145</v>
      </c>
      <c r="AJ51" s="12" t="s">
        <v>145</v>
      </c>
      <c r="AK51" s="12" t="s">
        <v>146</v>
      </c>
      <c r="AL51" s="12" t="s">
        <v>146</v>
      </c>
      <c r="AM51" s="11" t="s">
        <v>142</v>
      </c>
      <c r="AN51" s="11" t="s">
        <v>142</v>
      </c>
      <c r="AO51" s="11" t="s">
        <v>142</v>
      </c>
      <c r="AP51" s="11" t="s">
        <v>142</v>
      </c>
      <c r="AQ51" s="11" t="s">
        <v>142</v>
      </c>
      <c r="AR51" s="10" t="s">
        <v>142</v>
      </c>
      <c r="AS51" s="10" t="s">
        <v>143</v>
      </c>
      <c r="AT51" s="10" t="s">
        <v>143</v>
      </c>
      <c r="AU51" s="10" t="s">
        <v>145</v>
      </c>
      <c r="AV51" s="12" t="s">
        <v>145</v>
      </c>
      <c r="AW51" s="12" t="s">
        <v>146</v>
      </c>
      <c r="AX51" s="12" t="s">
        <v>146</v>
      </c>
      <c r="AY51" s="11" t="s">
        <v>142</v>
      </c>
      <c r="AZ51" s="11" t="s">
        <v>142</v>
      </c>
      <c r="BA51" s="11" t="s">
        <v>142</v>
      </c>
      <c r="BB51" s="11" t="s">
        <v>142</v>
      </c>
      <c r="BC51" s="11" t="s">
        <v>142</v>
      </c>
      <c r="BD51" s="10" t="s">
        <v>142</v>
      </c>
      <c r="BE51" s="10" t="s">
        <v>143</v>
      </c>
      <c r="BF51" s="10" t="s">
        <v>143</v>
      </c>
      <c r="BG51" s="10" t="s">
        <v>145</v>
      </c>
      <c r="BH51" s="12" t="s">
        <v>145</v>
      </c>
      <c r="BI51" s="12" t="s">
        <v>146</v>
      </c>
      <c r="BJ51" s="12" t="s">
        <v>146</v>
      </c>
      <c r="BK51" s="11" t="s">
        <v>142</v>
      </c>
      <c r="BL51" s="11" t="s">
        <v>142</v>
      </c>
      <c r="BM51" s="11" t="s">
        <v>142</v>
      </c>
    </row>
    <row r="52" customFormat="false" ht="15" hidden="false" customHeight="false" outlineLevel="0" collapsed="false">
      <c r="A52" s="8" t="n">
        <f aca="false">Policías!A52</f>
        <v>148</v>
      </c>
      <c r="B52" s="9" t="str">
        <f aca="false">Policías!B52</f>
        <v>Rocío </v>
      </c>
      <c r="C52" s="9" t="str">
        <f aca="false">Policías!C52</f>
        <v>Policía</v>
      </c>
      <c r="D52" s="9" t="s">
        <v>19</v>
      </c>
      <c r="E52" s="10" t="s">
        <v>143</v>
      </c>
      <c r="F52" s="11" t="s">
        <v>143</v>
      </c>
      <c r="G52" s="11" t="s">
        <v>145</v>
      </c>
      <c r="H52" s="11" t="s">
        <v>145</v>
      </c>
      <c r="I52" s="11" t="s">
        <v>146</v>
      </c>
      <c r="J52" s="11" t="s">
        <v>146</v>
      </c>
      <c r="K52" s="10" t="s">
        <v>142</v>
      </c>
      <c r="L52" s="10" t="s">
        <v>142</v>
      </c>
      <c r="M52" s="10" t="s">
        <v>142</v>
      </c>
      <c r="N52" s="10" t="s">
        <v>142</v>
      </c>
      <c r="O52" s="10" t="s">
        <v>142</v>
      </c>
      <c r="P52" s="10" t="s">
        <v>142</v>
      </c>
      <c r="Q52" s="11" t="s">
        <v>143</v>
      </c>
      <c r="R52" s="11" t="s">
        <v>143</v>
      </c>
      <c r="S52" s="11" t="s">
        <v>145</v>
      </c>
      <c r="T52" s="11" t="s">
        <v>145</v>
      </c>
      <c r="U52" s="11" t="s">
        <v>146</v>
      </c>
      <c r="V52" s="10" t="s">
        <v>146</v>
      </c>
      <c r="W52" s="10" t="s">
        <v>142</v>
      </c>
      <c r="X52" s="10" t="s">
        <v>142</v>
      </c>
      <c r="Y52" s="10" t="s">
        <v>142</v>
      </c>
      <c r="Z52" s="10" t="s">
        <v>142</v>
      </c>
      <c r="AA52" s="10" t="s">
        <v>142</v>
      </c>
      <c r="AB52" s="11" t="s">
        <v>142</v>
      </c>
      <c r="AC52" s="11" t="s">
        <v>143</v>
      </c>
      <c r="AD52" s="11" t="s">
        <v>143</v>
      </c>
      <c r="AE52" s="11" t="s">
        <v>145</v>
      </c>
      <c r="AF52" s="11" t="s">
        <v>145</v>
      </c>
      <c r="AG52" s="10" t="s">
        <v>146</v>
      </c>
      <c r="AH52" s="10" t="s">
        <v>146</v>
      </c>
      <c r="AI52" s="10" t="s">
        <v>142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</row>
    <row r="53" customFormat="false" ht="15" hidden="false" customHeight="false" outlineLevel="0" collapsed="false">
      <c r="A53" s="8" t="n">
        <f aca="false">Policías!A53</f>
        <v>149</v>
      </c>
      <c r="B53" s="9" t="str">
        <f aca="false">Policías!B53</f>
        <v>Pablo </v>
      </c>
      <c r="C53" s="9" t="str">
        <f aca="false">Policías!C53</f>
        <v>Policía</v>
      </c>
      <c r="D53" s="9" t="s">
        <v>33</v>
      </c>
      <c r="E53" s="10" t="s">
        <v>146</v>
      </c>
      <c r="F53" s="10" t="s">
        <v>146</v>
      </c>
      <c r="G53" s="10" t="s">
        <v>142</v>
      </c>
      <c r="H53" s="11" t="s">
        <v>142</v>
      </c>
      <c r="I53" s="11" t="s">
        <v>142</v>
      </c>
      <c r="J53" s="11" t="s">
        <v>142</v>
      </c>
      <c r="K53" s="11" t="s">
        <v>142</v>
      </c>
      <c r="L53" s="11" t="s">
        <v>142</v>
      </c>
      <c r="M53" s="10" t="s">
        <v>143</v>
      </c>
      <c r="N53" s="10" t="s">
        <v>143</v>
      </c>
      <c r="O53" s="10" t="s">
        <v>145</v>
      </c>
      <c r="P53" s="10" t="s">
        <v>145</v>
      </c>
      <c r="Q53" s="10" t="s">
        <v>146</v>
      </c>
      <c r="R53" s="10" t="s">
        <v>146</v>
      </c>
      <c r="S53" s="11" t="s">
        <v>142</v>
      </c>
      <c r="T53" s="11" t="s">
        <v>142</v>
      </c>
      <c r="U53" s="11" t="s">
        <v>142</v>
      </c>
      <c r="V53" s="11" t="s">
        <v>142</v>
      </c>
      <c r="W53" s="11" t="s">
        <v>142</v>
      </c>
      <c r="X53" s="10" t="s">
        <v>142</v>
      </c>
      <c r="Y53" s="10" t="s">
        <v>143</v>
      </c>
      <c r="Z53" s="10" t="s">
        <v>143</v>
      </c>
      <c r="AA53" s="10" t="s">
        <v>145</v>
      </c>
      <c r="AB53" s="10" t="s">
        <v>145</v>
      </c>
      <c r="AC53" s="10" t="s">
        <v>146</v>
      </c>
      <c r="AD53" s="11" t="s">
        <v>146</v>
      </c>
      <c r="AE53" s="11" t="s">
        <v>142</v>
      </c>
      <c r="AF53" s="11" t="s">
        <v>142</v>
      </c>
      <c r="AG53" s="11" t="s">
        <v>142</v>
      </c>
      <c r="AH53" s="11" t="s">
        <v>142</v>
      </c>
      <c r="AI53" s="10" t="s">
        <v>142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</row>
    <row r="54" customFormat="false" ht="15" hidden="false" customHeight="false" outlineLevel="0" collapsed="false">
      <c r="A54" s="8" t="n">
        <f aca="false">Policías!A54</f>
        <v>150</v>
      </c>
      <c r="B54" s="9" t="str">
        <f aca="false">Policías!B54</f>
        <v>Eduardo</v>
      </c>
      <c r="C54" s="9" t="str">
        <f aca="false">Policías!C54</f>
        <v>Policía</v>
      </c>
      <c r="D54" s="9" t="s">
        <v>19</v>
      </c>
      <c r="E54" s="10" t="s">
        <v>143</v>
      </c>
      <c r="F54" s="11" t="s">
        <v>143</v>
      </c>
      <c r="G54" s="11" t="s">
        <v>145</v>
      </c>
      <c r="H54" s="11" t="s">
        <v>145</v>
      </c>
      <c r="I54" s="11" t="s">
        <v>146</v>
      </c>
      <c r="J54" s="11" t="s">
        <v>146</v>
      </c>
      <c r="K54" s="10" t="s">
        <v>142</v>
      </c>
      <c r="L54" s="10" t="s">
        <v>142</v>
      </c>
      <c r="M54" s="10" t="s">
        <v>142</v>
      </c>
      <c r="N54" s="10" t="s">
        <v>142</v>
      </c>
      <c r="O54" s="10" t="s">
        <v>142</v>
      </c>
      <c r="P54" s="10" t="s">
        <v>142</v>
      </c>
      <c r="Q54" s="11" t="s">
        <v>143</v>
      </c>
      <c r="R54" s="11" t="s">
        <v>143</v>
      </c>
      <c r="S54" s="11" t="s">
        <v>145</v>
      </c>
      <c r="T54" s="11" t="s">
        <v>145</v>
      </c>
      <c r="U54" s="11" t="s">
        <v>146</v>
      </c>
      <c r="V54" s="10" t="s">
        <v>146</v>
      </c>
      <c r="W54" s="10" t="s">
        <v>142</v>
      </c>
      <c r="X54" s="10" t="s">
        <v>142</v>
      </c>
      <c r="Y54" s="10" t="s">
        <v>142</v>
      </c>
      <c r="Z54" s="10" t="s">
        <v>142</v>
      </c>
      <c r="AA54" s="10" t="s">
        <v>142</v>
      </c>
      <c r="AB54" s="11" t="s">
        <v>142</v>
      </c>
      <c r="AC54" s="11" t="s">
        <v>143</v>
      </c>
      <c r="AD54" s="11" t="s">
        <v>143</v>
      </c>
      <c r="AE54" s="11" t="s">
        <v>145</v>
      </c>
      <c r="AF54" s="11" t="s">
        <v>145</v>
      </c>
      <c r="AG54" s="10" t="s">
        <v>146</v>
      </c>
      <c r="AH54" s="10" t="s">
        <v>146</v>
      </c>
      <c r="AI54" s="10" t="s">
        <v>142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</row>
    <row r="55" customFormat="false" ht="15" hidden="false" customHeight="false" outlineLevel="0" collapsed="false">
      <c r="A55" s="8" t="n">
        <f aca="false">Policías!A55</f>
        <v>151</v>
      </c>
      <c r="B55" s="9" t="str">
        <f aca="false">Policías!B55</f>
        <v> Flores</v>
      </c>
      <c r="C55" s="9" t="str">
        <f aca="false">Policías!C55</f>
        <v>Policía</v>
      </c>
      <c r="D55" s="9" t="s">
        <v>19</v>
      </c>
      <c r="E55" s="10" t="s">
        <v>143</v>
      </c>
      <c r="F55" s="11" t="s">
        <v>143</v>
      </c>
      <c r="G55" s="11" t="s">
        <v>145</v>
      </c>
      <c r="H55" s="11" t="s">
        <v>145</v>
      </c>
      <c r="I55" s="11" t="s">
        <v>146</v>
      </c>
      <c r="J55" s="11" t="s">
        <v>146</v>
      </c>
      <c r="K55" s="10" t="s">
        <v>142</v>
      </c>
      <c r="L55" s="10" t="s">
        <v>142</v>
      </c>
      <c r="M55" s="10" t="s">
        <v>142</v>
      </c>
      <c r="N55" s="10" t="s">
        <v>142</v>
      </c>
      <c r="O55" s="10" t="s">
        <v>142</v>
      </c>
      <c r="P55" s="10" t="s">
        <v>142</v>
      </c>
      <c r="Q55" s="11" t="s">
        <v>143</v>
      </c>
      <c r="R55" s="11" t="s">
        <v>143</v>
      </c>
      <c r="S55" s="11" t="s">
        <v>145</v>
      </c>
      <c r="T55" s="11" t="s">
        <v>145</v>
      </c>
      <c r="U55" s="11" t="s">
        <v>146</v>
      </c>
      <c r="V55" s="10" t="s">
        <v>146</v>
      </c>
      <c r="W55" s="10" t="s">
        <v>142</v>
      </c>
      <c r="X55" s="10" t="s">
        <v>142</v>
      </c>
      <c r="Y55" s="10" t="s">
        <v>142</v>
      </c>
      <c r="Z55" s="10" t="s">
        <v>142</v>
      </c>
      <c r="AA55" s="10" t="s">
        <v>142</v>
      </c>
      <c r="AB55" s="11" t="s">
        <v>142</v>
      </c>
      <c r="AC55" s="11" t="s">
        <v>143</v>
      </c>
      <c r="AD55" s="11" t="s">
        <v>143</v>
      </c>
      <c r="AE55" s="11" t="s">
        <v>145</v>
      </c>
      <c r="AF55" s="11" t="s">
        <v>145</v>
      </c>
      <c r="AG55" s="10" t="s">
        <v>146</v>
      </c>
      <c r="AH55" s="10" t="s">
        <v>146</v>
      </c>
      <c r="AI55" s="10" t="s">
        <v>142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</row>
    <row r="56" customFormat="false" ht="15" hidden="false" customHeight="false" outlineLevel="0" collapsed="false">
      <c r="A56" s="8" t="n">
        <f aca="false">Policías!A56</f>
        <v>152</v>
      </c>
      <c r="B56" s="9" t="str">
        <f aca="false">Policías!B56</f>
        <v>Borja </v>
      </c>
      <c r="C56" s="9" t="str">
        <f aca="false">Policías!C56</f>
        <v>Policía</v>
      </c>
      <c r="D56" s="9" t="s">
        <v>23</v>
      </c>
      <c r="E56" s="11" t="s">
        <v>142</v>
      </c>
      <c r="F56" s="11" t="s">
        <v>142</v>
      </c>
      <c r="G56" s="11" t="s">
        <v>142</v>
      </c>
      <c r="H56" s="11" t="s">
        <v>142</v>
      </c>
      <c r="I56" s="10" t="s">
        <v>142</v>
      </c>
      <c r="J56" s="10" t="s">
        <v>142</v>
      </c>
      <c r="K56" s="10" t="s">
        <v>143</v>
      </c>
      <c r="L56" s="10" t="s">
        <v>143</v>
      </c>
      <c r="M56" s="10" t="s">
        <v>145</v>
      </c>
      <c r="N56" s="10" t="s">
        <v>145</v>
      </c>
      <c r="O56" s="11" t="s">
        <v>146</v>
      </c>
      <c r="P56" s="11" t="s">
        <v>146</v>
      </c>
      <c r="Q56" s="11" t="s">
        <v>142</v>
      </c>
      <c r="R56" s="11" t="s">
        <v>142</v>
      </c>
      <c r="S56" s="11" t="s">
        <v>142</v>
      </c>
      <c r="T56" s="10" t="s">
        <v>142</v>
      </c>
      <c r="U56" s="10" t="s">
        <v>142</v>
      </c>
      <c r="V56" s="10" t="s">
        <v>142</v>
      </c>
      <c r="W56" s="10" t="s">
        <v>143</v>
      </c>
      <c r="X56" s="10" t="s">
        <v>143</v>
      </c>
      <c r="Y56" s="10" t="s">
        <v>145</v>
      </c>
      <c r="Z56" s="11" t="s">
        <v>145</v>
      </c>
      <c r="AA56" s="11" t="s">
        <v>146</v>
      </c>
      <c r="AB56" s="11" t="s">
        <v>146</v>
      </c>
      <c r="AC56" s="11" t="s">
        <v>142</v>
      </c>
      <c r="AD56" s="11" t="s">
        <v>142</v>
      </c>
      <c r="AE56" s="10" t="s">
        <v>142</v>
      </c>
      <c r="AF56" s="10" t="s">
        <v>142</v>
      </c>
      <c r="AG56" s="10" t="s">
        <v>142</v>
      </c>
      <c r="AH56" s="10" t="s">
        <v>142</v>
      </c>
      <c r="AI56" s="10" t="s">
        <v>143</v>
      </c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</row>
    <row r="57" customFormat="false" ht="15" hidden="false" customHeight="false" outlineLevel="0" collapsed="false">
      <c r="A57" s="8" t="n">
        <f aca="false">Policías!A57</f>
        <v>153</v>
      </c>
      <c r="B57" s="9" t="str">
        <f aca="false">Policías!B57</f>
        <v>Rocío Romero</v>
      </c>
      <c r="C57" s="9" t="str">
        <f aca="false">Policías!C57</f>
        <v>Policía</v>
      </c>
      <c r="D57" s="9" t="s">
        <v>17</v>
      </c>
      <c r="E57" s="11" t="s">
        <v>142</v>
      </c>
      <c r="F57" s="11" t="s">
        <v>142</v>
      </c>
      <c r="G57" s="11" t="s">
        <v>143</v>
      </c>
      <c r="H57" s="11" t="s">
        <v>143</v>
      </c>
      <c r="I57" s="11" t="s">
        <v>145</v>
      </c>
      <c r="J57" s="11" t="s">
        <v>145</v>
      </c>
      <c r="K57" s="11" t="s">
        <v>146</v>
      </c>
      <c r="L57" s="10" t="s">
        <v>146</v>
      </c>
      <c r="M57" s="10" t="s">
        <v>142</v>
      </c>
      <c r="N57" s="10" t="s">
        <v>142</v>
      </c>
      <c r="O57" s="10" t="s">
        <v>142</v>
      </c>
      <c r="P57" s="10" t="s">
        <v>142</v>
      </c>
      <c r="Q57" s="10" t="s">
        <v>142</v>
      </c>
      <c r="R57" s="11" t="s">
        <v>142</v>
      </c>
      <c r="S57" s="11" t="s">
        <v>142</v>
      </c>
      <c r="T57" s="11" t="s">
        <v>142</v>
      </c>
      <c r="U57" s="11" t="s">
        <v>143</v>
      </c>
      <c r="V57" s="11" t="s">
        <v>143</v>
      </c>
      <c r="W57" s="11" t="s">
        <v>145</v>
      </c>
      <c r="X57" s="11" t="s">
        <v>145</v>
      </c>
      <c r="Y57" s="11" t="s">
        <v>146</v>
      </c>
      <c r="Z57" s="10" t="s">
        <v>146</v>
      </c>
      <c r="AA57" s="10" t="s">
        <v>142</v>
      </c>
      <c r="AB57" s="10" t="s">
        <v>142</v>
      </c>
      <c r="AC57" s="10" t="s">
        <v>142</v>
      </c>
      <c r="AD57" s="10" t="s">
        <v>142</v>
      </c>
      <c r="AE57" s="10" t="s">
        <v>142</v>
      </c>
      <c r="AF57" s="11" t="s">
        <v>142</v>
      </c>
      <c r="AG57" s="11" t="s">
        <v>143</v>
      </c>
      <c r="AH57" s="10" t="s">
        <v>143</v>
      </c>
      <c r="AI57" s="10" t="s">
        <v>145</v>
      </c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</row>
    <row r="58" customFormat="false" ht="15" hidden="false" customHeight="false" outlineLevel="0" collapsed="false">
      <c r="A58" s="8" t="n">
        <f aca="false">Policías!A58</f>
        <v>154</v>
      </c>
      <c r="B58" s="9" t="str">
        <f aca="false">Policías!B58</f>
        <v>Romero Cejudo</v>
      </c>
      <c r="C58" s="9" t="str">
        <f aca="false">Policías!C58</f>
        <v>Policía</v>
      </c>
      <c r="D58" s="9" t="s">
        <v>17</v>
      </c>
      <c r="E58" s="11" t="s">
        <v>142</v>
      </c>
      <c r="F58" s="11" t="s">
        <v>142</v>
      </c>
      <c r="G58" s="11" t="s">
        <v>143</v>
      </c>
      <c r="H58" s="11" t="s">
        <v>143</v>
      </c>
      <c r="I58" s="11" t="s">
        <v>145</v>
      </c>
      <c r="J58" s="11" t="s">
        <v>145</v>
      </c>
      <c r="K58" s="11" t="s">
        <v>146</v>
      </c>
      <c r="L58" s="10" t="s">
        <v>146</v>
      </c>
      <c r="M58" s="10" t="s">
        <v>142</v>
      </c>
      <c r="N58" s="10" t="s">
        <v>142</v>
      </c>
      <c r="O58" s="10" t="s">
        <v>142</v>
      </c>
      <c r="P58" s="10" t="s">
        <v>142</v>
      </c>
      <c r="Q58" s="10" t="s">
        <v>142</v>
      </c>
      <c r="R58" s="11" t="s">
        <v>142</v>
      </c>
      <c r="S58" s="11" t="s">
        <v>142</v>
      </c>
      <c r="T58" s="11" t="s">
        <v>142</v>
      </c>
      <c r="U58" s="11" t="s">
        <v>143</v>
      </c>
      <c r="V58" s="11" t="s">
        <v>143</v>
      </c>
      <c r="W58" s="11" t="s">
        <v>145</v>
      </c>
      <c r="X58" s="11" t="s">
        <v>145</v>
      </c>
      <c r="Y58" s="11" t="s">
        <v>146</v>
      </c>
      <c r="Z58" s="10" t="s">
        <v>146</v>
      </c>
      <c r="AA58" s="10" t="s">
        <v>142</v>
      </c>
      <c r="AB58" s="10" t="s">
        <v>142</v>
      </c>
      <c r="AC58" s="10" t="s">
        <v>142</v>
      </c>
      <c r="AD58" s="10" t="s">
        <v>142</v>
      </c>
      <c r="AE58" s="10" t="s">
        <v>142</v>
      </c>
      <c r="AF58" s="11" t="s">
        <v>142</v>
      </c>
      <c r="AG58" s="11" t="s">
        <v>143</v>
      </c>
      <c r="AH58" s="10" t="s">
        <v>143</v>
      </c>
      <c r="AI58" s="10" t="s">
        <v>145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</row>
    <row r="59" customFormat="false" ht="15" hidden="false" customHeight="false" outlineLevel="0" collapsed="false">
      <c r="A59" s="8" t="n">
        <f aca="false">Policías!A59</f>
        <v>155</v>
      </c>
      <c r="B59" s="9" t="str">
        <f aca="false">Policías!B59</f>
        <v>Vázquez Dominguez</v>
      </c>
      <c r="C59" s="9" t="str">
        <f aca="false">Policías!C59</f>
        <v>Policía</v>
      </c>
      <c r="D59" s="9" t="s">
        <v>35</v>
      </c>
      <c r="E59" s="10" t="s">
        <v>145</v>
      </c>
      <c r="F59" s="10" t="s">
        <v>145</v>
      </c>
      <c r="G59" s="11" t="s">
        <v>146</v>
      </c>
      <c r="H59" s="11" t="s">
        <v>146</v>
      </c>
      <c r="I59" s="11" t="s">
        <v>142</v>
      </c>
      <c r="J59" s="11" t="s">
        <v>142</v>
      </c>
      <c r="K59" s="11" t="s">
        <v>142</v>
      </c>
      <c r="L59" s="10" t="s">
        <v>142</v>
      </c>
      <c r="M59" s="10" t="s">
        <v>142</v>
      </c>
      <c r="N59" s="10" t="s">
        <v>142</v>
      </c>
      <c r="O59" s="10" t="s">
        <v>143</v>
      </c>
      <c r="P59" s="10" t="s">
        <v>143</v>
      </c>
      <c r="Q59" s="10" t="s">
        <v>145</v>
      </c>
      <c r="R59" s="11" t="s">
        <v>145</v>
      </c>
      <c r="S59" s="11" t="s">
        <v>146</v>
      </c>
      <c r="T59" s="11" t="s">
        <v>146</v>
      </c>
      <c r="U59" s="11" t="s">
        <v>142</v>
      </c>
      <c r="V59" s="11" t="s">
        <v>142</v>
      </c>
      <c r="W59" s="10" t="s">
        <v>142</v>
      </c>
      <c r="X59" s="10" t="s">
        <v>142</v>
      </c>
      <c r="Y59" s="10" t="s">
        <v>142</v>
      </c>
      <c r="Z59" s="10" t="s">
        <v>142</v>
      </c>
      <c r="AA59" s="10" t="s">
        <v>143</v>
      </c>
      <c r="AB59" s="10" t="s">
        <v>143</v>
      </c>
      <c r="AC59" s="11" t="s">
        <v>145</v>
      </c>
      <c r="AD59" s="11" t="s">
        <v>145</v>
      </c>
      <c r="AE59" s="11" t="s">
        <v>146</v>
      </c>
      <c r="AF59" s="11" t="s">
        <v>146</v>
      </c>
      <c r="AG59" s="11" t="s">
        <v>142</v>
      </c>
      <c r="AH59" s="10" t="s">
        <v>142</v>
      </c>
      <c r="AI59" s="10" t="s">
        <v>142</v>
      </c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</row>
    <row r="60" customFormat="false" ht="15" hidden="false" customHeight="false" outlineLevel="0" collapsed="false">
      <c r="A60" s="8" t="n">
        <f aca="false">Policías!A60</f>
        <v>156</v>
      </c>
      <c r="B60" s="9" t="str">
        <f aca="false">Policías!B60</f>
        <v>Jorge España </v>
      </c>
      <c r="C60" s="9" t="str">
        <f aca="false">Policías!C60</f>
        <v>Policía</v>
      </c>
      <c r="D60" s="9" t="s">
        <v>33</v>
      </c>
      <c r="E60" s="10" t="s">
        <v>146</v>
      </c>
      <c r="F60" s="10" t="s">
        <v>146</v>
      </c>
      <c r="G60" s="10" t="s">
        <v>142</v>
      </c>
      <c r="H60" s="11" t="s">
        <v>142</v>
      </c>
      <c r="I60" s="11" t="s">
        <v>142</v>
      </c>
      <c r="J60" s="11" t="s">
        <v>142</v>
      </c>
      <c r="K60" s="11" t="s">
        <v>142</v>
      </c>
      <c r="L60" s="11" t="s">
        <v>142</v>
      </c>
      <c r="M60" s="10" t="s">
        <v>143</v>
      </c>
      <c r="N60" s="10" t="s">
        <v>143</v>
      </c>
      <c r="O60" s="10" t="s">
        <v>145</v>
      </c>
      <c r="P60" s="10" t="s">
        <v>145</v>
      </c>
      <c r="Q60" s="10" t="s">
        <v>146</v>
      </c>
      <c r="R60" s="10" t="s">
        <v>146</v>
      </c>
      <c r="S60" s="11" t="s">
        <v>142</v>
      </c>
      <c r="T60" s="11" t="s">
        <v>142</v>
      </c>
      <c r="U60" s="11" t="s">
        <v>142</v>
      </c>
      <c r="V60" s="11" t="s">
        <v>142</v>
      </c>
      <c r="W60" s="11" t="s">
        <v>142</v>
      </c>
      <c r="X60" s="10" t="s">
        <v>142</v>
      </c>
      <c r="Y60" s="10" t="s">
        <v>143</v>
      </c>
      <c r="Z60" s="10" t="s">
        <v>143</v>
      </c>
      <c r="AA60" s="10" t="s">
        <v>145</v>
      </c>
      <c r="AB60" s="10" t="s">
        <v>145</v>
      </c>
      <c r="AC60" s="10" t="s">
        <v>146</v>
      </c>
      <c r="AD60" s="11" t="s">
        <v>146</v>
      </c>
      <c r="AE60" s="11" t="s">
        <v>142</v>
      </c>
      <c r="AF60" s="11" t="s">
        <v>142</v>
      </c>
      <c r="AG60" s="11" t="s">
        <v>142</v>
      </c>
      <c r="AH60" s="11" t="s">
        <v>142</v>
      </c>
      <c r="AI60" s="10" t="s">
        <v>142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</row>
    <row r="61" customFormat="false" ht="15" hidden="false" customHeight="false" outlineLevel="0" collapsed="false">
      <c r="A61" s="8" t="n">
        <f aca="false">Policías!A61</f>
        <v>157</v>
      </c>
      <c r="B61" s="9" t="str">
        <f aca="false">Policías!B61</f>
        <v> Dominguez Ruiz</v>
      </c>
      <c r="C61" s="9" t="str">
        <f aca="false">Policías!C61</f>
        <v>Policía</v>
      </c>
      <c r="D61" s="9" t="s">
        <v>19</v>
      </c>
      <c r="E61" s="10" t="s">
        <v>143</v>
      </c>
      <c r="F61" s="11" t="s">
        <v>143</v>
      </c>
      <c r="G61" s="11" t="s">
        <v>145</v>
      </c>
      <c r="H61" s="11" t="s">
        <v>145</v>
      </c>
      <c r="I61" s="11" t="s">
        <v>146</v>
      </c>
      <c r="J61" s="11" t="s">
        <v>146</v>
      </c>
      <c r="K61" s="10" t="s">
        <v>142</v>
      </c>
      <c r="L61" s="10" t="s">
        <v>142</v>
      </c>
      <c r="M61" s="10" t="s">
        <v>142</v>
      </c>
      <c r="N61" s="10" t="s">
        <v>142</v>
      </c>
      <c r="O61" s="10" t="s">
        <v>142</v>
      </c>
      <c r="P61" s="10" t="s">
        <v>142</v>
      </c>
      <c r="Q61" s="11" t="s">
        <v>143</v>
      </c>
      <c r="R61" s="11" t="s">
        <v>143</v>
      </c>
      <c r="S61" s="11" t="s">
        <v>145</v>
      </c>
      <c r="T61" s="11" t="s">
        <v>145</v>
      </c>
      <c r="U61" s="11" t="s">
        <v>146</v>
      </c>
      <c r="V61" s="10" t="s">
        <v>146</v>
      </c>
      <c r="W61" s="10" t="s">
        <v>142</v>
      </c>
      <c r="X61" s="10" t="s">
        <v>142</v>
      </c>
      <c r="Y61" s="10" t="s">
        <v>142</v>
      </c>
      <c r="Z61" s="10" t="s">
        <v>142</v>
      </c>
      <c r="AA61" s="10" t="s">
        <v>142</v>
      </c>
      <c r="AB61" s="11" t="s">
        <v>142</v>
      </c>
      <c r="AC61" s="11" t="s">
        <v>143</v>
      </c>
      <c r="AD61" s="11" t="s">
        <v>143</v>
      </c>
      <c r="AE61" s="11" t="s">
        <v>145</v>
      </c>
      <c r="AF61" s="11" t="s">
        <v>145</v>
      </c>
      <c r="AG61" s="10" t="s">
        <v>146</v>
      </c>
      <c r="AH61" s="10" t="s">
        <v>146</v>
      </c>
      <c r="AI61" s="10" t="s">
        <v>142</v>
      </c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</row>
    <row r="62" customFormat="false" ht="15" hidden="false" customHeight="false" outlineLevel="0" collapsed="false">
      <c r="A62" s="8" t="n">
        <f aca="false">Policías!A62</f>
        <v>158</v>
      </c>
      <c r="B62" s="9" t="str">
        <f aca="false">Policías!B62</f>
        <v>Javier</v>
      </c>
      <c r="C62" s="9" t="str">
        <f aca="false">Policías!C62</f>
        <v>Policía</v>
      </c>
      <c r="D62" s="9" t="s">
        <v>19</v>
      </c>
      <c r="E62" s="10" t="s">
        <v>143</v>
      </c>
      <c r="F62" s="11" t="s">
        <v>143</v>
      </c>
      <c r="G62" s="11" t="s">
        <v>145</v>
      </c>
      <c r="H62" s="11" t="s">
        <v>145</v>
      </c>
      <c r="I62" s="11" t="s">
        <v>146</v>
      </c>
      <c r="J62" s="11" t="s">
        <v>146</v>
      </c>
      <c r="K62" s="10" t="s">
        <v>142</v>
      </c>
      <c r="L62" s="10" t="s">
        <v>142</v>
      </c>
      <c r="M62" s="10" t="s">
        <v>142</v>
      </c>
      <c r="N62" s="10" t="s">
        <v>142</v>
      </c>
      <c r="O62" s="10" t="s">
        <v>142</v>
      </c>
      <c r="P62" s="10" t="s">
        <v>142</v>
      </c>
      <c r="Q62" s="11" t="s">
        <v>143</v>
      </c>
      <c r="R62" s="11" t="s">
        <v>143</v>
      </c>
      <c r="S62" s="11" t="s">
        <v>145</v>
      </c>
      <c r="T62" s="11" t="s">
        <v>145</v>
      </c>
      <c r="U62" s="11" t="s">
        <v>146</v>
      </c>
      <c r="V62" s="10" t="s">
        <v>146</v>
      </c>
      <c r="W62" s="10" t="s">
        <v>142</v>
      </c>
      <c r="X62" s="10" t="s">
        <v>142</v>
      </c>
      <c r="Y62" s="10" t="s">
        <v>142</v>
      </c>
      <c r="Z62" s="10" t="s">
        <v>142</v>
      </c>
      <c r="AA62" s="10" t="s">
        <v>142</v>
      </c>
      <c r="AB62" s="11" t="s">
        <v>142</v>
      </c>
      <c r="AC62" s="11" t="s">
        <v>143</v>
      </c>
      <c r="AD62" s="11" t="s">
        <v>143</v>
      </c>
      <c r="AE62" s="11" t="s">
        <v>145</v>
      </c>
      <c r="AF62" s="11" t="s">
        <v>145</v>
      </c>
      <c r="AG62" s="10" t="s">
        <v>146</v>
      </c>
      <c r="AH62" s="10" t="s">
        <v>146</v>
      </c>
      <c r="AI62" s="10" t="s">
        <v>142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</row>
    <row r="63" customFormat="false" ht="15" hidden="false" customHeight="false" outlineLevel="0" collapsed="false">
      <c r="A63" s="8" t="n">
        <f aca="false">Policías!A63</f>
        <v>159</v>
      </c>
      <c r="B63" s="9" t="str">
        <f aca="false">Policías!B63</f>
        <v>Muriel</v>
      </c>
      <c r="C63" s="9" t="str">
        <f aca="false">Policías!C63</f>
        <v>Policía</v>
      </c>
      <c r="D63" s="9" t="s">
        <v>19</v>
      </c>
      <c r="E63" s="10" t="s">
        <v>143</v>
      </c>
      <c r="F63" s="11" t="s">
        <v>143</v>
      </c>
      <c r="G63" s="11" t="s">
        <v>145</v>
      </c>
      <c r="H63" s="11" t="s">
        <v>145</v>
      </c>
      <c r="I63" s="11" t="s">
        <v>146</v>
      </c>
      <c r="J63" s="11" t="s">
        <v>146</v>
      </c>
      <c r="K63" s="10" t="s">
        <v>142</v>
      </c>
      <c r="L63" s="10" t="s">
        <v>142</v>
      </c>
      <c r="M63" s="10" t="s">
        <v>142</v>
      </c>
      <c r="N63" s="10" t="s">
        <v>142</v>
      </c>
      <c r="O63" s="10" t="s">
        <v>142</v>
      </c>
      <c r="P63" s="10" t="s">
        <v>142</v>
      </c>
      <c r="Q63" s="11" t="s">
        <v>143</v>
      </c>
      <c r="R63" s="11" t="s">
        <v>143</v>
      </c>
      <c r="S63" s="11" t="s">
        <v>145</v>
      </c>
      <c r="T63" s="11" t="s">
        <v>145</v>
      </c>
      <c r="U63" s="11" t="s">
        <v>146</v>
      </c>
      <c r="V63" s="10" t="s">
        <v>146</v>
      </c>
      <c r="W63" s="10" t="s">
        <v>142</v>
      </c>
      <c r="X63" s="10" t="s">
        <v>142</v>
      </c>
      <c r="Y63" s="10" t="s">
        <v>142</v>
      </c>
      <c r="Z63" s="10" t="s">
        <v>142</v>
      </c>
      <c r="AA63" s="10" t="s">
        <v>142</v>
      </c>
      <c r="AB63" s="11" t="s">
        <v>142</v>
      </c>
      <c r="AC63" s="11" t="s">
        <v>143</v>
      </c>
      <c r="AD63" s="11" t="s">
        <v>143</v>
      </c>
      <c r="AE63" s="11" t="s">
        <v>145</v>
      </c>
      <c r="AF63" s="11" t="s">
        <v>145</v>
      </c>
      <c r="AG63" s="10" t="s">
        <v>146</v>
      </c>
      <c r="AH63" s="10" t="s">
        <v>146</v>
      </c>
      <c r="AI63" s="10" t="s">
        <v>142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4:BM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14"/>
    <col collapsed="false" customWidth="true" hidden="false" outlineLevel="0" max="4" min="4" style="1" width="21.88"/>
    <col collapsed="false" customWidth="true" hidden="false" outlineLevel="0" max="5" min="5" style="1" width="17"/>
    <col collapsed="false" customWidth="true" hidden="false" outlineLevel="0" max="6" min="6" style="1" width="10.76"/>
    <col collapsed="false" customWidth="true" hidden="false" outlineLevel="0" max="7" min="7" style="1" width="16.04"/>
    <col collapsed="false" customWidth="true" hidden="false" outlineLevel="0" max="8" min="8" style="1" width="28"/>
  </cols>
  <sheetData>
    <row r="1" customFormat="false" ht="18.55" hidden="false" customHeight="false" outlineLevel="0" collapsed="false">
      <c r="A1" s="2" t="s">
        <v>148</v>
      </c>
    </row>
    <row r="2" customFormat="false" ht="15" hidden="false" customHeight="false" outlineLevel="0" collapsed="false">
      <c r="A2" s="3" t="s">
        <v>149</v>
      </c>
    </row>
    <row r="4" customFormat="false" ht="15" hidden="false" customHeight="false" outlineLevel="0" collapsed="false">
      <c r="A4" s="4" t="s">
        <v>150</v>
      </c>
      <c r="B4" s="4" t="s">
        <v>151</v>
      </c>
      <c r="C4" s="4" t="s">
        <v>2</v>
      </c>
      <c r="D4" s="17" t="s">
        <v>152</v>
      </c>
      <c r="E4" s="4" t="s">
        <v>153</v>
      </c>
      <c r="F4" s="4" t="s">
        <v>154</v>
      </c>
      <c r="G4" s="4" t="s">
        <v>155</v>
      </c>
      <c r="H4" s="17" t="s">
        <v>156</v>
      </c>
    </row>
    <row r="5" customFormat="false" ht="15" hidden="false" customHeight="false" outlineLevel="0" collapsed="false">
      <c r="A5" s="5" t="n">
        <v>1001</v>
      </c>
      <c r="B5" s="5" t="s">
        <v>81</v>
      </c>
      <c r="C5" s="5" t="n">
        <v>101</v>
      </c>
      <c r="D5" s="18" t="str">
        <f aca="false">IF(C5="","",IFERROR(VLOOKUP(C5,Policías!$A$5:$B$63,2,FALSE()),""))</f>
        <v>Francisca </v>
      </c>
      <c r="E5" s="5" t="s">
        <v>157</v>
      </c>
      <c r="F5" s="18" t="n">
        <f aca="false">IF(C5="",0,1)</f>
        <v>1</v>
      </c>
      <c r="G5" s="18" t="n">
        <f aca="false">IF(C5="","",SUMIF($C$5:$C$104,C5,$F$5:$F$104))</f>
        <v>2</v>
      </c>
      <c r="H5" s="6" t="s">
        <v>158</v>
      </c>
    </row>
    <row r="6" customFormat="false" ht="15" hidden="false" customHeight="false" outlineLevel="0" collapsed="false">
      <c r="A6" s="5" t="n">
        <v>1002</v>
      </c>
      <c r="B6" s="5" t="s">
        <v>81</v>
      </c>
      <c r="C6" s="5" t="n">
        <v>103</v>
      </c>
      <c r="D6" s="18" t="str">
        <f aca="false">IF(C6="","",IFERROR(VLOOKUP(C6,Policías!$A$5:$B$63,2,FALSE()),""))</f>
        <v>Juan</v>
      </c>
      <c r="E6" s="5" t="s">
        <v>159</v>
      </c>
      <c r="F6" s="18" t="n">
        <f aca="false">IF(C6="",0,1)</f>
        <v>1</v>
      </c>
      <c r="G6" s="18" t="n">
        <f aca="false">IF(C6="","",SUMIF($C$5:$C$104,C6,$F$5:$F$104))</f>
        <v>1</v>
      </c>
      <c r="H6" s="6" t="s">
        <v>160</v>
      </c>
    </row>
    <row r="7" customFormat="false" ht="15" hidden="false" customHeight="false" outlineLevel="0" collapsed="false">
      <c r="A7" s="5" t="n">
        <v>1003</v>
      </c>
      <c r="B7" s="5" t="s">
        <v>82</v>
      </c>
      <c r="C7" s="5" t="n">
        <v>101</v>
      </c>
      <c r="D7" s="18" t="str">
        <f aca="false">IF(C7="","",IFERROR(VLOOKUP(C7,Policías!$A$5:$B$63,2,FALSE()),""))</f>
        <v>Francisca </v>
      </c>
      <c r="E7" s="5" t="s">
        <v>161</v>
      </c>
      <c r="F7" s="18" t="n">
        <f aca="false">IF(C7="",0,1)</f>
        <v>1</v>
      </c>
      <c r="G7" s="18" t="n">
        <f aca="false">IF(C7="","",SUMIF($C$5:$C$104,C7,$F$5:$F$104))</f>
        <v>2</v>
      </c>
      <c r="H7" s="6" t="s">
        <v>162</v>
      </c>
    </row>
    <row r="8" customFormat="false" ht="15" hidden="false" customHeight="false" outlineLevel="0" collapsed="false">
      <c r="A8" s="5" t="n">
        <v>1004</v>
      </c>
      <c r="B8" s="19"/>
      <c r="C8" s="19"/>
      <c r="D8" s="18" t="str">
        <f aca="false">IF(C8="","",IFERROR(VLOOKUP(C8,Policías!$A$5:$B$63,2,FALSE()),""))</f>
        <v/>
      </c>
      <c r="E8" s="19"/>
      <c r="F8" s="18" t="n">
        <f aca="false">IF(C8="",0,1)</f>
        <v>0</v>
      </c>
      <c r="G8" s="18" t="str">
        <f aca="false">IF(C8="","",SUMIF($C$5:$C$104,C8,$F$5:$F$104))</f>
        <v/>
      </c>
      <c r="H8" s="19"/>
    </row>
    <row r="9" customFormat="false" ht="15" hidden="false" customHeight="false" outlineLevel="0" collapsed="false">
      <c r="A9" s="5" t="n">
        <v>1005</v>
      </c>
      <c r="B9" s="19"/>
      <c r="C9" s="19"/>
      <c r="D9" s="18" t="str">
        <f aca="false">IF(C9="","",IFERROR(VLOOKUP(C9,Policías!$A$5:$B$63,2,FALSE()),""))</f>
        <v/>
      </c>
      <c r="E9" s="19"/>
      <c r="F9" s="18" t="n">
        <f aca="false">IF(C9="",0,1)</f>
        <v>0</v>
      </c>
      <c r="G9" s="18" t="str">
        <f aca="false">IF(C9="","",SUMIF($C$5:$C$104,C9,$F$5:$F$104))</f>
        <v/>
      </c>
      <c r="H9" s="19"/>
    </row>
    <row r="10" customFormat="false" ht="15" hidden="false" customHeight="false" outlineLevel="0" collapsed="false">
      <c r="A10" s="5" t="n">
        <v>1006</v>
      </c>
      <c r="B10" s="19"/>
      <c r="C10" s="19"/>
      <c r="D10" s="18" t="str">
        <f aca="false">IF(C10="","",IFERROR(VLOOKUP(C10,Policías!$A$5:$B$63,2,FALSE()),""))</f>
        <v/>
      </c>
      <c r="E10" s="19"/>
      <c r="F10" s="18" t="n">
        <f aca="false">IF(C10="",0,1)</f>
        <v>0</v>
      </c>
      <c r="G10" s="18" t="str">
        <f aca="false">IF(C10="","",SUMIF($C$5:$C$104,C10,$F$5:$F$104))</f>
        <v/>
      </c>
      <c r="H10" s="19"/>
    </row>
    <row r="11" customFormat="false" ht="15" hidden="false" customHeight="false" outlineLevel="0" collapsed="false">
      <c r="A11" s="5" t="n">
        <v>1007</v>
      </c>
      <c r="B11" s="19"/>
      <c r="C11" s="19"/>
      <c r="D11" s="18" t="str">
        <f aca="false">IF(C11="","",IFERROR(VLOOKUP(C11,Policías!$A$5:$B$63,2,FALSE()),""))</f>
        <v/>
      </c>
      <c r="E11" s="19"/>
      <c r="F11" s="18" t="n">
        <f aca="false">IF(C11="",0,1)</f>
        <v>0</v>
      </c>
      <c r="G11" s="18" t="str">
        <f aca="false">IF(C11="","",SUMIF($C$5:$C$104,C11,$F$5:$F$104))</f>
        <v/>
      </c>
      <c r="H11" s="19"/>
    </row>
    <row r="12" customFormat="false" ht="15" hidden="false" customHeight="false" outlineLevel="0" collapsed="false">
      <c r="A12" s="5" t="n">
        <v>1008</v>
      </c>
      <c r="B12" s="19"/>
      <c r="C12" s="19"/>
      <c r="D12" s="18" t="str">
        <f aca="false">IF(C12="","",IFERROR(VLOOKUP(C12,Policías!$A$5:$B$63,2,FALSE()),""))</f>
        <v/>
      </c>
      <c r="E12" s="19"/>
      <c r="F12" s="18" t="n">
        <f aca="false">IF(C12="",0,1)</f>
        <v>0</v>
      </c>
      <c r="G12" s="18" t="str">
        <f aca="false">IF(C12="","",SUMIF($C$5:$C$104,C12,$F$5:$F$104))</f>
        <v/>
      </c>
      <c r="H12" s="19"/>
    </row>
    <row r="13" customFormat="false" ht="15" hidden="false" customHeight="false" outlineLevel="0" collapsed="false">
      <c r="A13" s="5" t="n">
        <v>1009</v>
      </c>
      <c r="B13" s="19"/>
      <c r="C13" s="19"/>
      <c r="D13" s="18" t="str">
        <f aca="false">IF(C13="","",IFERROR(VLOOKUP(C13,Policías!$A$5:$B$63,2,FALSE()),""))</f>
        <v/>
      </c>
      <c r="E13" s="19"/>
      <c r="F13" s="18" t="n">
        <f aca="false">IF(C13="",0,1)</f>
        <v>0</v>
      </c>
      <c r="G13" s="18" t="str">
        <f aca="false">IF(C13="","",SUMIF($C$5:$C$104,C13,$F$5:$F$104))</f>
        <v/>
      </c>
      <c r="H13" s="19"/>
    </row>
    <row r="14" customFormat="false" ht="15" hidden="false" customHeight="false" outlineLevel="0" collapsed="false">
      <c r="A14" s="5" t="n">
        <v>1010</v>
      </c>
      <c r="B14" s="19"/>
      <c r="C14" s="19"/>
      <c r="D14" s="18" t="str">
        <f aca="false">IF(C14="","",IFERROR(VLOOKUP(C14,Policías!$A$5:$B$63,2,FALSE()),""))</f>
        <v/>
      </c>
      <c r="E14" s="19"/>
      <c r="F14" s="18" t="n">
        <f aca="false">IF(C14="",0,1)</f>
        <v>0</v>
      </c>
      <c r="G14" s="18" t="str">
        <f aca="false">IF(C14="","",SUMIF($C$5:$C$104,C14,$F$5:$F$104))</f>
        <v/>
      </c>
      <c r="H14" s="19"/>
    </row>
    <row r="15" customFormat="false" ht="15" hidden="false" customHeight="false" outlineLevel="0" collapsed="false">
      <c r="A15" s="5" t="n">
        <v>1011</v>
      </c>
      <c r="B15" s="19"/>
      <c r="C15" s="19"/>
      <c r="D15" s="18" t="str">
        <f aca="false">IF(C15="","",IFERROR(VLOOKUP(C15,Policías!$A$5:$B$63,2,FALSE()),""))</f>
        <v/>
      </c>
      <c r="E15" s="19"/>
      <c r="F15" s="18" t="n">
        <f aca="false">IF(C15="",0,1)</f>
        <v>0</v>
      </c>
      <c r="G15" s="18" t="str">
        <f aca="false">IF(C15="","",SUMIF($C$5:$C$104,C15,$F$5:$F$104))</f>
        <v/>
      </c>
      <c r="H15" s="19"/>
    </row>
    <row r="16" customFormat="false" ht="15" hidden="false" customHeight="false" outlineLevel="0" collapsed="false">
      <c r="A16" s="5" t="n">
        <v>1012</v>
      </c>
      <c r="B16" s="19"/>
      <c r="C16" s="19"/>
      <c r="D16" s="18" t="str">
        <f aca="false">IF(C16="","",IFERROR(VLOOKUP(C16,Policías!$A$5:$B$63,2,FALSE()),""))</f>
        <v/>
      </c>
      <c r="E16" s="19"/>
      <c r="F16" s="18" t="n">
        <f aca="false">IF(C16="",0,1)</f>
        <v>0</v>
      </c>
      <c r="G16" s="18" t="str">
        <f aca="false">IF(C16="","",SUMIF($C$5:$C$104,C16,$F$5:$F$104))</f>
        <v/>
      </c>
      <c r="H16" s="19"/>
    </row>
    <row r="17" customFormat="false" ht="15" hidden="false" customHeight="false" outlineLevel="0" collapsed="false">
      <c r="A17" s="5" t="n">
        <v>1013</v>
      </c>
      <c r="B17" s="19"/>
      <c r="C17" s="19"/>
      <c r="D17" s="18" t="str">
        <f aca="false">IF(C17="","",IFERROR(VLOOKUP(C17,Policías!$A$5:$B$63,2,FALSE()),""))</f>
        <v/>
      </c>
      <c r="E17" s="19"/>
      <c r="F17" s="18" t="n">
        <f aca="false">IF(C17="",0,1)</f>
        <v>0</v>
      </c>
      <c r="G17" s="18" t="str">
        <f aca="false">IF(C17="","",SUMIF($C$5:$C$104,C17,$F$5:$F$104))</f>
        <v/>
      </c>
      <c r="H17" s="19"/>
    </row>
    <row r="18" customFormat="false" ht="15" hidden="false" customHeight="false" outlineLevel="0" collapsed="false">
      <c r="A18" s="5" t="n">
        <v>1014</v>
      </c>
      <c r="B18" s="19"/>
      <c r="C18" s="19"/>
      <c r="D18" s="18" t="str">
        <f aca="false">IF(C18="","",IFERROR(VLOOKUP(C18,Policías!$A$5:$B$63,2,FALSE()),""))</f>
        <v/>
      </c>
      <c r="E18" s="19"/>
      <c r="F18" s="18" t="n">
        <f aca="false">IF(C18="",0,1)</f>
        <v>0</v>
      </c>
      <c r="G18" s="18" t="str">
        <f aca="false">IF(C18="","",SUMIF($C$5:$C$104,C18,$F$5:$F$104))</f>
        <v/>
      </c>
      <c r="H18" s="19"/>
    </row>
    <row r="19" customFormat="false" ht="15" hidden="false" customHeight="false" outlineLevel="0" collapsed="false">
      <c r="A19" s="5" t="n">
        <v>1015</v>
      </c>
      <c r="B19" s="19"/>
      <c r="C19" s="19"/>
      <c r="D19" s="18" t="str">
        <f aca="false">IF(C19="","",IFERROR(VLOOKUP(C19,Policías!$A$5:$B$63,2,FALSE()),""))</f>
        <v/>
      </c>
      <c r="E19" s="19"/>
      <c r="F19" s="18" t="n">
        <f aca="false">IF(C19="",0,1)</f>
        <v>0</v>
      </c>
      <c r="G19" s="18" t="str">
        <f aca="false">IF(C19="","",SUMIF($C$5:$C$104,C19,$F$5:$F$104))</f>
        <v/>
      </c>
      <c r="H19" s="19"/>
    </row>
    <row r="20" customFormat="false" ht="15" hidden="false" customHeight="false" outlineLevel="0" collapsed="false">
      <c r="A20" s="5" t="n">
        <v>1016</v>
      </c>
      <c r="B20" s="19"/>
      <c r="C20" s="19"/>
      <c r="D20" s="18" t="str">
        <f aca="false">IF(C20="","",IFERROR(VLOOKUP(C20,Policías!$A$5:$B$63,2,FALSE()),""))</f>
        <v/>
      </c>
      <c r="E20" s="19"/>
      <c r="F20" s="18" t="n">
        <f aca="false">IF(C20="",0,1)</f>
        <v>0</v>
      </c>
      <c r="G20" s="18" t="str">
        <f aca="false">IF(C20="","",SUMIF($C$5:$C$104,C20,$F$5:$F$104))</f>
        <v/>
      </c>
      <c r="H20" s="19"/>
    </row>
    <row r="21" customFormat="false" ht="15" hidden="false" customHeight="false" outlineLevel="0" collapsed="false">
      <c r="A21" s="5" t="n">
        <v>1017</v>
      </c>
      <c r="B21" s="19"/>
      <c r="C21" s="19"/>
      <c r="D21" s="18" t="str">
        <f aca="false">IF(C21="","",IFERROR(VLOOKUP(C21,Policías!$A$5:$B$63,2,FALSE()),""))</f>
        <v/>
      </c>
      <c r="E21" s="19"/>
      <c r="F21" s="18" t="n">
        <f aca="false">IF(C21="",0,1)</f>
        <v>0</v>
      </c>
      <c r="G21" s="18" t="str">
        <f aca="false">IF(C21="","",SUMIF($C$5:$C$104,C21,$F$5:$F$104))</f>
        <v/>
      </c>
      <c r="H21" s="19"/>
    </row>
    <row r="22" customFormat="false" ht="15" hidden="false" customHeight="false" outlineLevel="0" collapsed="false">
      <c r="A22" s="5" t="n">
        <v>1018</v>
      </c>
      <c r="B22" s="19"/>
      <c r="C22" s="19"/>
      <c r="D22" s="18" t="str">
        <f aca="false">IF(C22="","",IFERROR(VLOOKUP(C22,Policías!$A$5:$B$63,2,FALSE()),""))</f>
        <v/>
      </c>
      <c r="E22" s="19"/>
      <c r="F22" s="18" t="n">
        <f aca="false">IF(C22="",0,1)</f>
        <v>0</v>
      </c>
      <c r="G22" s="18" t="str">
        <f aca="false">IF(C22="","",SUMIF($C$5:$C$104,C22,$F$5:$F$104))</f>
        <v/>
      </c>
      <c r="H22" s="19"/>
    </row>
    <row r="23" customFormat="false" ht="15" hidden="false" customHeight="false" outlineLevel="0" collapsed="false">
      <c r="A23" s="5" t="n">
        <v>1019</v>
      </c>
      <c r="B23" s="19"/>
      <c r="C23" s="19"/>
      <c r="D23" s="18" t="str">
        <f aca="false">IF(C23="","",IFERROR(VLOOKUP(C23,Policías!$A$5:$B$63,2,FALSE()),""))</f>
        <v/>
      </c>
      <c r="E23" s="19"/>
      <c r="F23" s="18" t="n">
        <f aca="false">IF(C23="",0,1)</f>
        <v>0</v>
      </c>
      <c r="G23" s="18" t="str">
        <f aca="false">IF(C23="","",SUMIF($C$5:$C$104,C23,$F$5:$F$104))</f>
        <v/>
      </c>
      <c r="H23" s="19"/>
    </row>
    <row r="24" customFormat="false" ht="15" hidden="false" customHeight="false" outlineLevel="0" collapsed="false">
      <c r="A24" s="5" t="n">
        <v>1020</v>
      </c>
      <c r="B24" s="19"/>
      <c r="C24" s="19"/>
      <c r="D24" s="18" t="str">
        <f aca="false">IF(C24="","",IFERROR(VLOOKUP(C24,Policías!$A$5:$B$63,2,FALSE()),""))</f>
        <v/>
      </c>
      <c r="E24" s="19"/>
      <c r="F24" s="18" t="n">
        <f aca="false">IF(C24="",0,1)</f>
        <v>0</v>
      </c>
      <c r="G24" s="18" t="str">
        <f aca="false">IF(C24="","",SUMIF($C$5:$C$104,C24,$F$5:$F$104))</f>
        <v/>
      </c>
      <c r="H24" s="19"/>
    </row>
    <row r="25" customFormat="false" ht="15" hidden="false" customHeight="false" outlineLevel="0" collapsed="false">
      <c r="A25" s="5" t="n">
        <v>1021</v>
      </c>
      <c r="B25" s="19"/>
      <c r="C25" s="19"/>
      <c r="D25" s="18" t="str">
        <f aca="false">IF(C25="","",IFERROR(VLOOKUP(C25,Policías!$A$5:$B$63,2,FALSE()),""))</f>
        <v/>
      </c>
      <c r="E25" s="19"/>
      <c r="F25" s="18" t="n">
        <f aca="false">IF(C25="",0,1)</f>
        <v>0</v>
      </c>
      <c r="G25" s="18" t="str">
        <f aca="false">IF(C25="","",SUMIF($C$5:$C$104,C25,$F$5:$F$104))</f>
        <v/>
      </c>
      <c r="H25" s="19"/>
    </row>
    <row r="26" customFormat="false" ht="15" hidden="false" customHeight="false" outlineLevel="0" collapsed="false">
      <c r="A26" s="5" t="n">
        <v>1022</v>
      </c>
      <c r="B26" s="19"/>
      <c r="C26" s="19"/>
      <c r="D26" s="18" t="str">
        <f aca="false">IF(C26="","",IFERROR(VLOOKUP(C26,Policías!$A$5:$B$63,2,FALSE()),""))</f>
        <v/>
      </c>
      <c r="E26" s="19"/>
      <c r="F26" s="18" t="n">
        <f aca="false">IF(C26="",0,1)</f>
        <v>0</v>
      </c>
      <c r="G26" s="18" t="str">
        <f aca="false">IF(C26="","",SUMIF($C$5:$C$104,C26,$F$5:$F$104))</f>
        <v/>
      </c>
      <c r="H26" s="19"/>
    </row>
    <row r="27" customFormat="false" ht="15" hidden="false" customHeight="false" outlineLevel="0" collapsed="false">
      <c r="A27" s="5" t="n">
        <v>1023</v>
      </c>
      <c r="B27" s="19"/>
      <c r="C27" s="19"/>
      <c r="D27" s="18" t="str">
        <f aca="false">IF(C27="","",IFERROR(VLOOKUP(C27,Policías!$A$5:$B$63,2,FALSE()),""))</f>
        <v/>
      </c>
      <c r="E27" s="19"/>
      <c r="F27" s="18" t="n">
        <f aca="false">IF(C27="",0,1)</f>
        <v>0</v>
      </c>
      <c r="G27" s="18" t="str">
        <f aca="false">IF(C27="","",SUMIF($C$5:$C$104,C27,$F$5:$F$104))</f>
        <v/>
      </c>
      <c r="H27" s="19"/>
    </row>
    <row r="28" customFormat="false" ht="15" hidden="false" customHeight="false" outlineLevel="0" collapsed="false">
      <c r="A28" s="5" t="n">
        <v>1024</v>
      </c>
      <c r="B28" s="19"/>
      <c r="C28" s="19"/>
      <c r="D28" s="18" t="str">
        <f aca="false">IF(C28="","",IFERROR(VLOOKUP(C28,Policías!$A$5:$B$63,2,FALSE()),""))</f>
        <v/>
      </c>
      <c r="E28" s="19"/>
      <c r="F28" s="18" t="n">
        <f aca="false">IF(C28="",0,1)</f>
        <v>0</v>
      </c>
      <c r="G28" s="18" t="str">
        <f aca="false">IF(C28="","",SUMIF($C$5:$C$104,C28,$F$5:$F$104))</f>
        <v/>
      </c>
      <c r="H28" s="19"/>
    </row>
    <row r="29" customFormat="false" ht="15" hidden="false" customHeight="false" outlineLevel="0" collapsed="false">
      <c r="A29" s="5" t="n">
        <v>1025</v>
      </c>
      <c r="B29" s="19"/>
      <c r="C29" s="19"/>
      <c r="D29" s="18" t="str">
        <f aca="false">IF(C29="","",IFERROR(VLOOKUP(C29,Policías!$A$5:$B$63,2,FALSE()),""))</f>
        <v/>
      </c>
      <c r="E29" s="19"/>
      <c r="F29" s="18" t="n">
        <f aca="false">IF(C29="",0,1)</f>
        <v>0</v>
      </c>
      <c r="G29" s="18" t="str">
        <f aca="false">IF(C29="","",SUMIF($C$5:$C$104,C29,$F$5:$F$104))</f>
        <v/>
      </c>
      <c r="H29" s="19"/>
    </row>
    <row r="30" customFormat="false" ht="15" hidden="false" customHeight="false" outlineLevel="0" collapsed="false">
      <c r="A30" s="5" t="n">
        <v>1026</v>
      </c>
      <c r="B30" s="19"/>
      <c r="C30" s="19"/>
      <c r="D30" s="18" t="str">
        <f aca="false">IF(C30="","",IFERROR(VLOOKUP(C30,Policías!$A$5:$B$63,2,FALSE()),""))</f>
        <v/>
      </c>
      <c r="E30" s="19"/>
      <c r="F30" s="18" t="n">
        <f aca="false">IF(C30="",0,1)</f>
        <v>0</v>
      </c>
      <c r="G30" s="18" t="str">
        <f aca="false">IF(C30="","",SUMIF($C$5:$C$104,C30,$F$5:$F$104))</f>
        <v/>
      </c>
      <c r="H30" s="19"/>
    </row>
    <row r="31" customFormat="false" ht="15" hidden="false" customHeight="false" outlineLevel="0" collapsed="false">
      <c r="A31" s="5" t="n">
        <v>1027</v>
      </c>
      <c r="B31" s="19"/>
      <c r="C31" s="19"/>
      <c r="D31" s="18" t="str">
        <f aca="false">IF(C31="","",IFERROR(VLOOKUP(C31,Policías!$A$5:$B$63,2,FALSE()),""))</f>
        <v/>
      </c>
      <c r="E31" s="19"/>
      <c r="F31" s="18" t="n">
        <f aca="false">IF(C31="",0,1)</f>
        <v>0</v>
      </c>
      <c r="G31" s="18" t="str">
        <f aca="false">IF(C31="","",SUMIF($C$5:$C$104,C31,$F$5:$F$104))</f>
        <v/>
      </c>
      <c r="H31" s="19"/>
    </row>
    <row r="32" customFormat="false" ht="15" hidden="false" customHeight="false" outlineLevel="0" collapsed="false">
      <c r="A32" s="5" t="n">
        <v>1028</v>
      </c>
      <c r="B32" s="19"/>
      <c r="C32" s="19"/>
      <c r="D32" s="18" t="str">
        <f aca="false">IF(C32="","",IFERROR(VLOOKUP(C32,Policías!$A$5:$B$63,2,FALSE()),""))</f>
        <v/>
      </c>
      <c r="E32" s="19"/>
      <c r="F32" s="18" t="n">
        <f aca="false">IF(C32="",0,1)</f>
        <v>0</v>
      </c>
      <c r="G32" s="18" t="str">
        <f aca="false">IF(C32="","",SUMIF($C$5:$C$104,C32,$F$5:$F$104))</f>
        <v/>
      </c>
      <c r="H32" s="19"/>
    </row>
    <row r="33" customFormat="false" ht="15" hidden="false" customHeight="false" outlineLevel="0" collapsed="false">
      <c r="A33" s="5" t="n">
        <v>1029</v>
      </c>
      <c r="B33" s="19"/>
      <c r="C33" s="19"/>
      <c r="D33" s="18" t="str">
        <f aca="false">IF(C33="","",IFERROR(VLOOKUP(C33,Policías!$A$5:$B$63,2,FALSE()),""))</f>
        <v/>
      </c>
      <c r="E33" s="19"/>
      <c r="F33" s="18" t="n">
        <f aca="false">IF(C33="",0,1)</f>
        <v>0</v>
      </c>
      <c r="G33" s="18" t="str">
        <f aca="false">IF(C33="","",SUMIF($C$5:$C$104,C33,$F$5:$F$104))</f>
        <v/>
      </c>
      <c r="H33" s="19"/>
    </row>
    <row r="34" customFormat="false" ht="15" hidden="false" customHeight="false" outlineLevel="0" collapsed="false">
      <c r="A34" s="5" t="n">
        <v>1030</v>
      </c>
      <c r="B34" s="19"/>
      <c r="C34" s="19"/>
      <c r="D34" s="18" t="str">
        <f aca="false">IF(C34="","",IFERROR(VLOOKUP(C34,Policías!$A$5:$B$63,2,FALSE()),""))</f>
        <v/>
      </c>
      <c r="E34" s="19"/>
      <c r="F34" s="18" t="n">
        <f aca="false">IF(C34="",0,1)</f>
        <v>0</v>
      </c>
      <c r="G34" s="18" t="str">
        <f aca="false">IF(C34="","",SUMIF($C$5:$C$104,C34,$F$5:$F$104))</f>
        <v/>
      </c>
      <c r="H34" s="19"/>
    </row>
    <row r="35" customFormat="false" ht="15" hidden="false" customHeight="false" outlineLevel="0" collapsed="false">
      <c r="A35" s="5" t="n">
        <v>1031</v>
      </c>
      <c r="B35" s="19"/>
      <c r="C35" s="19"/>
      <c r="D35" s="18" t="str">
        <f aca="false">IF(C35="","",IFERROR(VLOOKUP(C35,Policías!$A$5:$B$63,2,FALSE()),""))</f>
        <v/>
      </c>
      <c r="E35" s="19"/>
      <c r="F35" s="18" t="n">
        <f aca="false">IF(C35="",0,1)</f>
        <v>0</v>
      </c>
      <c r="G35" s="18" t="str">
        <f aca="false">IF(C35="","",SUMIF($C$5:$C$104,C35,$F$5:$F$104))</f>
        <v/>
      </c>
      <c r="H35" s="19"/>
    </row>
    <row r="36" customFormat="false" ht="15" hidden="false" customHeight="false" outlineLevel="0" collapsed="false">
      <c r="A36" s="5" t="n">
        <v>1032</v>
      </c>
      <c r="B36" s="19"/>
      <c r="C36" s="19"/>
      <c r="D36" s="18" t="str">
        <f aca="false">IF(C36="","",IFERROR(VLOOKUP(C36,Policías!$A$5:$B$63,2,FALSE()),""))</f>
        <v/>
      </c>
      <c r="E36" s="19"/>
      <c r="F36" s="18" t="n">
        <f aca="false">IF(C36="",0,1)</f>
        <v>0</v>
      </c>
      <c r="G36" s="18" t="str">
        <f aca="false">IF(C36="","",SUMIF($C$5:$C$104,C36,$F$5:$F$104))</f>
        <v/>
      </c>
      <c r="H36" s="19"/>
    </row>
    <row r="37" customFormat="false" ht="15" hidden="false" customHeight="false" outlineLevel="0" collapsed="false">
      <c r="A37" s="5" t="n">
        <v>1033</v>
      </c>
      <c r="B37" s="19"/>
      <c r="C37" s="19"/>
      <c r="D37" s="18" t="str">
        <f aca="false">IF(C37="","",IFERROR(VLOOKUP(C37,Policías!$A$5:$B$63,2,FALSE()),""))</f>
        <v/>
      </c>
      <c r="E37" s="19"/>
      <c r="F37" s="18" t="n">
        <f aca="false">IF(C37="",0,1)</f>
        <v>0</v>
      </c>
      <c r="G37" s="18" t="str">
        <f aca="false">IF(C37="","",SUMIF($C$5:$C$104,C37,$F$5:$F$104))</f>
        <v/>
      </c>
      <c r="H37" s="19"/>
    </row>
    <row r="38" customFormat="false" ht="15" hidden="false" customHeight="false" outlineLevel="0" collapsed="false">
      <c r="A38" s="5" t="n">
        <v>1034</v>
      </c>
      <c r="B38" s="19"/>
      <c r="C38" s="19"/>
      <c r="D38" s="18" t="str">
        <f aca="false">IF(C38="","",IFERROR(VLOOKUP(C38,Policías!$A$5:$B$63,2,FALSE()),""))</f>
        <v/>
      </c>
      <c r="E38" s="19"/>
      <c r="F38" s="18" t="n">
        <f aca="false">IF(C38="",0,1)</f>
        <v>0</v>
      </c>
      <c r="G38" s="18" t="str">
        <f aca="false">IF(C38="","",SUMIF($C$5:$C$104,C38,$F$5:$F$104))</f>
        <v/>
      </c>
      <c r="H38" s="19"/>
    </row>
    <row r="39" customFormat="false" ht="15" hidden="false" customHeight="false" outlineLevel="0" collapsed="false">
      <c r="A39" s="5" t="n">
        <v>1035</v>
      </c>
      <c r="B39" s="19"/>
      <c r="C39" s="19"/>
      <c r="D39" s="18" t="str">
        <f aca="false">IF(C39="","",IFERROR(VLOOKUP(C39,Policías!$A$5:$B$63,2,FALSE()),""))</f>
        <v/>
      </c>
      <c r="E39" s="19"/>
      <c r="F39" s="18" t="n">
        <f aca="false">IF(C39="",0,1)</f>
        <v>0</v>
      </c>
      <c r="G39" s="18" t="str">
        <f aca="false">IF(C39="","",SUMIF($C$5:$C$104,C39,$F$5:$F$104))</f>
        <v/>
      </c>
      <c r="H39" s="19"/>
    </row>
    <row r="40" customFormat="false" ht="15" hidden="false" customHeight="false" outlineLevel="0" collapsed="false">
      <c r="A40" s="5" t="n">
        <v>1036</v>
      </c>
      <c r="B40" s="19"/>
      <c r="C40" s="19"/>
      <c r="D40" s="18" t="str">
        <f aca="false">IF(C40="","",IFERROR(VLOOKUP(C40,Policías!$A$5:$B$63,2,FALSE()),""))</f>
        <v/>
      </c>
      <c r="E40" s="19"/>
      <c r="F40" s="18" t="n">
        <f aca="false">IF(C40="",0,1)</f>
        <v>0</v>
      </c>
      <c r="G40" s="18" t="str">
        <f aca="false">IF(C40="","",SUMIF($C$5:$C$104,C40,$F$5:$F$104))</f>
        <v/>
      </c>
      <c r="H40" s="19"/>
    </row>
    <row r="41" customFormat="false" ht="15" hidden="false" customHeight="false" outlineLevel="0" collapsed="false">
      <c r="A41" s="5" t="n">
        <v>1037</v>
      </c>
      <c r="B41" s="19"/>
      <c r="C41" s="19"/>
      <c r="D41" s="18" t="str">
        <f aca="false">IF(C41="","",IFERROR(VLOOKUP(C41,Policías!$A$5:$B$63,2,FALSE()),""))</f>
        <v/>
      </c>
      <c r="E41" s="19"/>
      <c r="F41" s="18" t="n">
        <f aca="false">IF(C41="",0,1)</f>
        <v>0</v>
      </c>
      <c r="G41" s="18" t="str">
        <f aca="false">IF(C41="","",SUMIF($C$5:$C$104,C41,$F$5:$F$104))</f>
        <v/>
      </c>
      <c r="H41" s="19"/>
    </row>
    <row r="42" customFormat="false" ht="15" hidden="false" customHeight="false" outlineLevel="0" collapsed="false">
      <c r="A42" s="5" t="n">
        <v>1038</v>
      </c>
      <c r="B42" s="19"/>
      <c r="C42" s="19"/>
      <c r="D42" s="18" t="str">
        <f aca="false">IF(C42="","",IFERROR(VLOOKUP(C42,Policías!$A$5:$B$63,2,FALSE()),""))</f>
        <v/>
      </c>
      <c r="E42" s="19"/>
      <c r="F42" s="18" t="n">
        <f aca="false">IF(C42="",0,1)</f>
        <v>0</v>
      </c>
      <c r="G42" s="18" t="str">
        <f aca="false">IF(C42="","",SUMIF($C$5:$C$104,C42,$F$5:$F$104))</f>
        <v/>
      </c>
      <c r="H42" s="19"/>
    </row>
    <row r="43" customFormat="false" ht="15" hidden="false" customHeight="false" outlineLevel="0" collapsed="false">
      <c r="A43" s="5" t="n">
        <v>1039</v>
      </c>
      <c r="B43" s="19"/>
      <c r="C43" s="19"/>
      <c r="D43" s="18" t="str">
        <f aca="false">IF(C43="","",IFERROR(VLOOKUP(C43,Policías!$A$5:$B$63,2,FALSE()),""))</f>
        <v/>
      </c>
      <c r="E43" s="19"/>
      <c r="F43" s="18" t="n">
        <f aca="false">IF(C43="",0,1)</f>
        <v>0</v>
      </c>
      <c r="G43" s="18" t="str">
        <f aca="false">IF(C43="","",SUMIF($C$5:$C$104,C43,$F$5:$F$104))</f>
        <v/>
      </c>
      <c r="H43" s="19"/>
    </row>
    <row r="44" customFormat="false" ht="15" hidden="false" customHeight="false" outlineLevel="0" collapsed="false">
      <c r="A44" s="5" t="n">
        <v>1040</v>
      </c>
      <c r="B44" s="19"/>
      <c r="C44" s="19"/>
      <c r="D44" s="18" t="str">
        <f aca="false">IF(C44="","",IFERROR(VLOOKUP(C44,Policías!$A$5:$B$63,2,FALSE()),""))</f>
        <v/>
      </c>
      <c r="E44" s="19"/>
      <c r="F44" s="18" t="n">
        <f aca="false">IF(C44="",0,1)</f>
        <v>0</v>
      </c>
      <c r="G44" s="18" t="str">
        <f aca="false">IF(C44="","",SUMIF($C$5:$C$104,C44,$F$5:$F$104))</f>
        <v/>
      </c>
      <c r="H44" s="19"/>
    </row>
    <row r="45" customFormat="false" ht="15" hidden="false" customHeight="false" outlineLevel="0" collapsed="false">
      <c r="A45" s="5" t="n">
        <v>1041</v>
      </c>
      <c r="B45" s="19"/>
      <c r="C45" s="19"/>
      <c r="D45" s="18" t="str">
        <f aca="false">IF(C45="","",IFERROR(VLOOKUP(C45,Policías!$A$5:$B$63,2,FALSE()),""))</f>
        <v/>
      </c>
      <c r="E45" s="19"/>
      <c r="F45" s="18" t="n">
        <f aca="false">IF(C45="",0,1)</f>
        <v>0</v>
      </c>
      <c r="G45" s="18" t="str">
        <f aca="false">IF(C45="","",SUMIF($C$5:$C$104,C45,$F$5:$F$104))</f>
        <v/>
      </c>
      <c r="H45" s="19"/>
    </row>
    <row r="46" customFormat="false" ht="15" hidden="false" customHeight="false" outlineLevel="0" collapsed="false">
      <c r="A46" s="5" t="n">
        <v>1042</v>
      </c>
      <c r="B46" s="19"/>
      <c r="C46" s="19"/>
      <c r="D46" s="18" t="str">
        <f aca="false">IF(C46="","",IFERROR(VLOOKUP(C46,Policías!$A$5:$B$63,2,FALSE()),""))</f>
        <v/>
      </c>
      <c r="E46" s="19"/>
      <c r="F46" s="18" t="n">
        <f aca="false">IF(C46="",0,1)</f>
        <v>0</v>
      </c>
      <c r="G46" s="18" t="str">
        <f aca="false">IF(C46="","",SUMIF($C$5:$C$104,C46,$F$5:$F$104))</f>
        <v/>
      </c>
      <c r="H46" s="19"/>
    </row>
    <row r="47" customFormat="false" ht="15" hidden="false" customHeight="false" outlineLevel="0" collapsed="false">
      <c r="A47" s="5" t="n">
        <v>1043</v>
      </c>
      <c r="B47" s="19"/>
      <c r="C47" s="19"/>
      <c r="D47" s="18" t="str">
        <f aca="false">IF(C47="","",IFERROR(VLOOKUP(C47,Policías!$A$5:$B$63,2,FALSE()),""))</f>
        <v/>
      </c>
      <c r="E47" s="19"/>
      <c r="F47" s="18" t="n">
        <f aca="false">IF(C47="",0,1)</f>
        <v>0</v>
      </c>
      <c r="G47" s="18" t="str">
        <f aca="false">IF(C47="","",SUMIF($C$5:$C$104,C47,$F$5:$F$104))</f>
        <v/>
      </c>
      <c r="H47" s="19"/>
    </row>
    <row r="48" customFormat="false" ht="15" hidden="false" customHeight="false" outlineLevel="0" collapsed="false">
      <c r="A48" s="5" t="n">
        <v>1044</v>
      </c>
      <c r="B48" s="19"/>
      <c r="C48" s="19"/>
      <c r="D48" s="18" t="str">
        <f aca="false">IF(C48="","",IFERROR(VLOOKUP(C48,Policías!$A$5:$B$63,2,FALSE()),""))</f>
        <v/>
      </c>
      <c r="E48" s="19"/>
      <c r="F48" s="18" t="n">
        <f aca="false">IF(C48="",0,1)</f>
        <v>0</v>
      </c>
      <c r="G48" s="18" t="str">
        <f aca="false">IF(C48="","",SUMIF($C$5:$C$104,C48,$F$5:$F$104))</f>
        <v/>
      </c>
      <c r="H48" s="19"/>
    </row>
    <row r="49" customFormat="false" ht="15" hidden="false" customHeight="false" outlineLevel="0" collapsed="false">
      <c r="A49" s="5" t="n">
        <v>1045</v>
      </c>
      <c r="B49" s="19"/>
      <c r="C49" s="19"/>
      <c r="D49" s="18" t="str">
        <f aca="false">IF(C49="","",IFERROR(VLOOKUP(C49,Policías!$A$5:$B$63,2,FALSE()),""))</f>
        <v/>
      </c>
      <c r="E49" s="19"/>
      <c r="F49" s="18" t="n">
        <f aca="false">IF(C49="",0,1)</f>
        <v>0</v>
      </c>
      <c r="G49" s="18" t="str">
        <f aca="false">IF(C49="","",SUMIF($C$5:$C$104,C49,$F$5:$F$104))</f>
        <v/>
      </c>
      <c r="H49" s="19"/>
    </row>
    <row r="50" customFormat="false" ht="15" hidden="false" customHeight="false" outlineLevel="0" collapsed="false">
      <c r="A50" s="5" t="n">
        <v>1046</v>
      </c>
      <c r="B50" s="19"/>
      <c r="C50" s="19"/>
      <c r="D50" s="18" t="str">
        <f aca="false">IF(C50="","",IFERROR(VLOOKUP(C50,Policías!$A$5:$B$63,2,FALSE()),""))</f>
        <v/>
      </c>
      <c r="E50" s="19"/>
      <c r="F50" s="18" t="n">
        <f aca="false">IF(C50="",0,1)</f>
        <v>0</v>
      </c>
      <c r="G50" s="18" t="str">
        <f aca="false">IF(C50="","",SUMIF($C$5:$C$104,C50,$F$5:$F$104))</f>
        <v/>
      </c>
      <c r="H50" s="19"/>
    </row>
    <row r="51" customFormat="false" ht="15" hidden="false" customHeight="false" outlineLevel="0" collapsed="false">
      <c r="A51" s="5" t="n">
        <v>1047</v>
      </c>
      <c r="B51" s="19"/>
      <c r="C51" s="19"/>
      <c r="D51" s="18" t="str">
        <f aca="false">IF(C51="","",IFERROR(VLOOKUP(C51,Policías!$A$5:$B$63,2,FALSE()),""))</f>
        <v/>
      </c>
      <c r="E51" s="19"/>
      <c r="F51" s="18" t="n">
        <f aca="false">IF(C51="",0,1)</f>
        <v>0</v>
      </c>
      <c r="G51" s="18" t="str">
        <f aca="false">IF(C51="","",SUMIF($C$5:$C$104,C51,$F$5:$F$104))</f>
        <v/>
      </c>
      <c r="H51" s="19"/>
    </row>
    <row r="52" customFormat="false" ht="15" hidden="false" customHeight="false" outlineLevel="0" collapsed="false">
      <c r="A52" s="5" t="n">
        <v>1048</v>
      </c>
      <c r="B52" s="19"/>
      <c r="C52" s="19"/>
      <c r="D52" s="18" t="str">
        <f aca="false">IF(C52="","",IFERROR(VLOOKUP(C52,Policías!$A$5:$B$63,2,FALSE()),""))</f>
        <v/>
      </c>
      <c r="E52" s="19"/>
      <c r="F52" s="18" t="n">
        <f aca="false">IF(C52="",0,1)</f>
        <v>0</v>
      </c>
      <c r="G52" s="18" t="str">
        <f aca="false">IF(C52="","",SUMIF($C$5:$C$104,C52,$F$5:$F$104))</f>
        <v/>
      </c>
      <c r="H52" s="19"/>
    </row>
    <row r="53" customFormat="false" ht="15" hidden="false" customHeight="false" outlineLevel="0" collapsed="false">
      <c r="A53" s="5" t="n">
        <v>1049</v>
      </c>
      <c r="B53" s="19"/>
      <c r="C53" s="19"/>
      <c r="D53" s="18" t="str">
        <f aca="false">IF(C53="","",IFERROR(VLOOKUP(C53,Policías!$A$5:$B$63,2,FALSE()),""))</f>
        <v/>
      </c>
      <c r="E53" s="19"/>
      <c r="F53" s="18" t="n">
        <f aca="false">IF(C53="",0,1)</f>
        <v>0</v>
      </c>
      <c r="G53" s="18" t="str">
        <f aca="false">IF(C53="","",SUMIF($C$5:$C$104,C53,$F$5:$F$104))</f>
        <v/>
      </c>
      <c r="H53" s="19"/>
    </row>
    <row r="54" customFormat="false" ht="15" hidden="false" customHeight="false" outlineLevel="0" collapsed="false">
      <c r="A54" s="5" t="n">
        <v>1050</v>
      </c>
      <c r="B54" s="19"/>
      <c r="C54" s="19"/>
      <c r="D54" s="18" t="str">
        <f aca="false">IF(C54="","",IFERROR(VLOOKUP(C54,Policías!$A$5:$B$63,2,FALSE()),""))</f>
        <v/>
      </c>
      <c r="E54" s="19"/>
      <c r="F54" s="18" t="n">
        <f aca="false">IF(C54="",0,1)</f>
        <v>0</v>
      </c>
      <c r="G54" s="18" t="str">
        <f aca="false">IF(C54="","",SUMIF($C$5:$C$104,C54,$F$5:$F$104))</f>
        <v/>
      </c>
      <c r="H54" s="19"/>
    </row>
    <row r="55" customFormat="false" ht="15" hidden="false" customHeight="false" outlineLevel="0" collapsed="false">
      <c r="A55" s="5" t="n">
        <v>1051</v>
      </c>
      <c r="B55" s="19"/>
      <c r="C55" s="19"/>
      <c r="D55" s="18" t="str">
        <f aca="false">IF(C55="","",IFERROR(VLOOKUP(C55,Policías!$A$5:$B$63,2,FALSE()),""))</f>
        <v/>
      </c>
      <c r="E55" s="19"/>
      <c r="F55" s="18" t="n">
        <f aca="false">IF(C55="",0,1)</f>
        <v>0</v>
      </c>
      <c r="G55" s="18" t="str">
        <f aca="false">IF(C55="","",SUMIF($C$5:$C$104,C55,$F$5:$F$104))</f>
        <v/>
      </c>
      <c r="H55" s="19"/>
    </row>
    <row r="56" customFormat="false" ht="15" hidden="false" customHeight="false" outlineLevel="0" collapsed="false">
      <c r="A56" s="5" t="n">
        <v>1052</v>
      </c>
      <c r="B56" s="19"/>
      <c r="C56" s="19"/>
      <c r="D56" s="18" t="str">
        <f aca="false">IF(C56="","",IFERROR(VLOOKUP(C56,Policías!$A$5:$B$63,2,FALSE()),""))</f>
        <v/>
      </c>
      <c r="E56" s="19"/>
      <c r="F56" s="18" t="n">
        <f aca="false">IF(C56="",0,1)</f>
        <v>0</v>
      </c>
      <c r="G56" s="18" t="str">
        <f aca="false">IF(C56="","",SUMIF($C$5:$C$104,C56,$F$5:$F$104))</f>
        <v/>
      </c>
      <c r="H56" s="19"/>
    </row>
    <row r="57" customFormat="false" ht="15" hidden="false" customHeight="false" outlineLevel="0" collapsed="false">
      <c r="A57" s="5" t="n">
        <v>1053</v>
      </c>
      <c r="B57" s="19"/>
      <c r="C57" s="19"/>
      <c r="D57" s="18" t="str">
        <f aca="false">IF(C57="","",IFERROR(VLOOKUP(C57,Policías!$A$5:$B$63,2,FALSE()),""))</f>
        <v/>
      </c>
      <c r="E57" s="19"/>
      <c r="F57" s="18" t="n">
        <f aca="false">IF(C57="",0,1)</f>
        <v>0</v>
      </c>
      <c r="G57" s="18" t="str">
        <f aca="false">IF(C57="","",SUMIF($C$5:$C$104,C57,$F$5:$F$104))</f>
        <v/>
      </c>
      <c r="H57" s="19"/>
    </row>
    <row r="58" customFormat="false" ht="15" hidden="false" customHeight="false" outlineLevel="0" collapsed="false">
      <c r="A58" s="5" t="n">
        <v>1054</v>
      </c>
      <c r="B58" s="19"/>
      <c r="C58" s="19"/>
      <c r="D58" s="18" t="str">
        <f aca="false">IF(C58="","",IFERROR(VLOOKUP(C58,Policías!$A$5:$B$63,2,FALSE()),""))</f>
        <v/>
      </c>
      <c r="E58" s="19"/>
      <c r="F58" s="18" t="n">
        <f aca="false">IF(C58="",0,1)</f>
        <v>0</v>
      </c>
      <c r="G58" s="18" t="str">
        <f aca="false">IF(C58="","",SUMIF($C$5:$C$104,C58,$F$5:$F$104))</f>
        <v/>
      </c>
      <c r="H58" s="19"/>
    </row>
    <row r="59" customFormat="false" ht="15" hidden="false" customHeight="false" outlineLevel="0" collapsed="false">
      <c r="A59" s="5" t="n">
        <v>1055</v>
      </c>
      <c r="B59" s="19"/>
      <c r="C59" s="19"/>
      <c r="D59" s="18" t="str">
        <f aca="false">IF(C59="","",IFERROR(VLOOKUP(C59,Policías!$A$5:$B$63,2,FALSE()),""))</f>
        <v/>
      </c>
      <c r="E59" s="19"/>
      <c r="F59" s="18" t="n">
        <f aca="false">IF(C59="",0,1)</f>
        <v>0</v>
      </c>
      <c r="G59" s="18" t="str">
        <f aca="false">IF(C59="","",SUMIF($C$5:$C$104,C59,$F$5:$F$104))</f>
        <v/>
      </c>
      <c r="H59" s="19"/>
    </row>
    <row r="60" customFormat="false" ht="15" hidden="false" customHeight="false" outlineLevel="0" collapsed="false">
      <c r="A60" s="5" t="n">
        <v>1056</v>
      </c>
      <c r="B60" s="19"/>
      <c r="C60" s="19"/>
      <c r="D60" s="18" t="str">
        <f aca="false">IF(C60="","",IFERROR(VLOOKUP(C60,Policías!$A$5:$B$63,2,FALSE()),""))</f>
        <v/>
      </c>
      <c r="E60" s="19"/>
      <c r="F60" s="18" t="n">
        <f aca="false">IF(C60="",0,1)</f>
        <v>0</v>
      </c>
      <c r="G60" s="18" t="str">
        <f aca="false">IF(C60="","",SUMIF($C$5:$C$104,C60,$F$5:$F$104))</f>
        <v/>
      </c>
      <c r="H60" s="19"/>
    </row>
    <row r="61" customFormat="false" ht="15" hidden="false" customHeight="false" outlineLevel="0" collapsed="false">
      <c r="A61" s="5" t="n">
        <v>1057</v>
      </c>
      <c r="B61" s="19"/>
      <c r="C61" s="19"/>
      <c r="D61" s="18" t="str">
        <f aca="false">IF(C61="","",IFERROR(VLOOKUP(C61,Policías!$A$5:$B$63,2,FALSE()),""))</f>
        <v/>
      </c>
      <c r="E61" s="19"/>
      <c r="F61" s="18" t="n">
        <f aca="false">IF(C61="",0,1)</f>
        <v>0</v>
      </c>
      <c r="G61" s="18" t="str">
        <f aca="false">IF(C61="","",SUMIF($C$5:$C$104,C61,$F$5:$F$104))</f>
        <v/>
      </c>
      <c r="H61" s="19"/>
    </row>
    <row r="62" customFormat="false" ht="15" hidden="false" customHeight="false" outlineLevel="0" collapsed="false">
      <c r="A62" s="5" t="n">
        <v>1058</v>
      </c>
      <c r="B62" s="19"/>
      <c r="C62" s="19"/>
      <c r="D62" s="18" t="str">
        <f aca="false">IF(C62="","",IFERROR(VLOOKUP(C62,Policías!$A$5:$B$63,2,FALSE()),""))</f>
        <v/>
      </c>
      <c r="E62" s="19"/>
      <c r="F62" s="18" t="n">
        <f aca="false">IF(C62="",0,1)</f>
        <v>0</v>
      </c>
      <c r="G62" s="18" t="str">
        <f aca="false">IF(C62="","",SUMIF($C$5:$C$104,C62,$F$5:$F$104))</f>
        <v/>
      </c>
      <c r="H62" s="19"/>
    </row>
    <row r="63" customFormat="false" ht="15" hidden="false" customHeight="false" outlineLevel="0" collapsed="false">
      <c r="A63" s="5" t="n">
        <v>1059</v>
      </c>
      <c r="B63" s="19"/>
      <c r="C63" s="19"/>
      <c r="D63" s="18" t="str">
        <f aca="false">IF(C63="","",IFERROR(VLOOKUP(C63,Policías!$A$5:$B$63,2,FALSE()),""))</f>
        <v/>
      </c>
      <c r="E63" s="19"/>
      <c r="F63" s="18" t="n">
        <f aca="false">IF(C63="",0,1)</f>
        <v>0</v>
      </c>
      <c r="G63" s="18" t="str">
        <f aca="false">IF(C63="","",SUMIF($C$5:$C$104,C63,$F$5:$F$104))</f>
        <v/>
      </c>
      <c r="H63" s="19"/>
    </row>
    <row r="64" customFormat="false" ht="15" hidden="false" customHeight="false" outlineLevel="0" collapsed="false">
      <c r="A64" s="5" t="n">
        <v>1060</v>
      </c>
      <c r="B64" s="19"/>
      <c r="C64" s="19"/>
      <c r="D64" s="18" t="str">
        <f aca="false">IF(C64="","",IFERROR(VLOOKUP(C64,Policías!$A$5:$B$63,2,FALSE()),""))</f>
        <v/>
      </c>
      <c r="E64" s="19"/>
      <c r="F64" s="18" t="n">
        <f aca="false">IF(C64="",0,1)</f>
        <v>0</v>
      </c>
      <c r="G64" s="18" t="str">
        <f aca="false">IF(C64="","",SUMIF($C$5:$C$104,C64,$F$5:$F$104))</f>
        <v/>
      </c>
      <c r="H64" s="19"/>
    </row>
    <row r="65" customFormat="false" ht="15" hidden="false" customHeight="false" outlineLevel="0" collapsed="false">
      <c r="A65" s="5" t="n">
        <v>1061</v>
      </c>
      <c r="B65" s="19"/>
      <c r="C65" s="19"/>
      <c r="D65" s="18" t="str">
        <f aca="false">IF(C65="","",IFERROR(VLOOKUP(C65,Policías!$A$5:$B$63,2,FALSE()),""))</f>
        <v/>
      </c>
      <c r="E65" s="19"/>
      <c r="F65" s="18" t="n">
        <f aca="false">IF(C65="",0,1)</f>
        <v>0</v>
      </c>
      <c r="G65" s="18" t="str">
        <f aca="false">IF(C65="","",SUMIF($C$5:$C$104,C65,$F$5:$F$104))</f>
        <v/>
      </c>
      <c r="H65" s="19"/>
    </row>
    <row r="66" customFormat="false" ht="15" hidden="false" customHeight="false" outlineLevel="0" collapsed="false">
      <c r="A66" s="5" t="n">
        <v>1062</v>
      </c>
      <c r="B66" s="19"/>
      <c r="C66" s="19"/>
      <c r="D66" s="18" t="str">
        <f aca="false">IF(C66="","",IFERROR(VLOOKUP(C66,Policías!$A$5:$B$63,2,FALSE()),""))</f>
        <v/>
      </c>
      <c r="E66" s="19"/>
      <c r="F66" s="18" t="n">
        <f aca="false">IF(C66="",0,1)</f>
        <v>0</v>
      </c>
      <c r="G66" s="18" t="str">
        <f aca="false">IF(C66="","",SUMIF($C$5:$C$104,C66,$F$5:$F$104))</f>
        <v/>
      </c>
      <c r="H66" s="19"/>
    </row>
    <row r="67" customFormat="false" ht="15" hidden="false" customHeight="false" outlineLevel="0" collapsed="false">
      <c r="A67" s="5" t="n">
        <v>1063</v>
      </c>
      <c r="B67" s="19"/>
      <c r="C67" s="19"/>
      <c r="D67" s="18" t="str">
        <f aca="false">IF(C67="","",IFERROR(VLOOKUP(C67,Policías!$A$5:$B$63,2,FALSE()),""))</f>
        <v/>
      </c>
      <c r="E67" s="19"/>
      <c r="F67" s="18" t="n">
        <f aca="false">IF(C67="",0,1)</f>
        <v>0</v>
      </c>
      <c r="G67" s="18" t="str">
        <f aca="false">IF(C67="","",SUMIF($C$5:$C$104,C67,$F$5:$F$104))</f>
        <v/>
      </c>
      <c r="H67" s="19"/>
    </row>
    <row r="68" customFormat="false" ht="15" hidden="false" customHeight="false" outlineLevel="0" collapsed="false">
      <c r="A68" s="5" t="n">
        <v>1064</v>
      </c>
      <c r="B68" s="19"/>
      <c r="C68" s="19"/>
      <c r="D68" s="18" t="str">
        <f aca="false">IF(C68="","",IFERROR(VLOOKUP(C68,Policías!$A$5:$B$63,2,FALSE()),""))</f>
        <v/>
      </c>
      <c r="E68" s="19"/>
      <c r="F68" s="18" t="n">
        <f aca="false">IF(C68="",0,1)</f>
        <v>0</v>
      </c>
      <c r="G68" s="18" t="str">
        <f aca="false">IF(C68="","",SUMIF($C$5:$C$104,C68,$F$5:$F$104))</f>
        <v/>
      </c>
      <c r="H68" s="19"/>
    </row>
    <row r="69" customFormat="false" ht="15" hidden="false" customHeight="false" outlineLevel="0" collapsed="false">
      <c r="A69" s="5" t="n">
        <v>1065</v>
      </c>
      <c r="B69" s="19"/>
      <c r="C69" s="19"/>
      <c r="D69" s="18" t="str">
        <f aca="false">IF(C69="","",IFERROR(VLOOKUP(C69,Policías!$A$5:$B$63,2,FALSE()),""))</f>
        <v/>
      </c>
      <c r="E69" s="19"/>
      <c r="F69" s="18" t="n">
        <f aca="false">IF(C69="",0,1)</f>
        <v>0</v>
      </c>
      <c r="G69" s="18" t="str">
        <f aca="false">IF(C69="","",SUMIF($C$5:$C$104,C69,$F$5:$F$104))</f>
        <v/>
      </c>
      <c r="H69" s="19"/>
    </row>
    <row r="70" customFormat="false" ht="15" hidden="false" customHeight="false" outlineLevel="0" collapsed="false">
      <c r="A70" s="5" t="n">
        <v>1066</v>
      </c>
      <c r="B70" s="19"/>
      <c r="C70" s="19"/>
      <c r="D70" s="18" t="str">
        <f aca="false">IF(C70="","",IFERROR(VLOOKUP(C70,Policías!$A$5:$B$63,2,FALSE()),""))</f>
        <v/>
      </c>
      <c r="E70" s="19"/>
      <c r="F70" s="18" t="n">
        <f aca="false">IF(C70="",0,1)</f>
        <v>0</v>
      </c>
      <c r="G70" s="18" t="str">
        <f aca="false">IF(C70="","",SUMIF($C$5:$C$104,C70,$F$5:$F$104))</f>
        <v/>
      </c>
      <c r="H70" s="19"/>
    </row>
    <row r="71" customFormat="false" ht="15" hidden="false" customHeight="false" outlineLevel="0" collapsed="false">
      <c r="A71" s="5" t="n">
        <v>1067</v>
      </c>
      <c r="B71" s="19"/>
      <c r="C71" s="19"/>
      <c r="D71" s="18" t="str">
        <f aca="false">IF(C71="","",IFERROR(VLOOKUP(C71,Policías!$A$5:$B$63,2,FALSE()),""))</f>
        <v/>
      </c>
      <c r="E71" s="19"/>
      <c r="F71" s="18" t="n">
        <f aca="false">IF(C71="",0,1)</f>
        <v>0</v>
      </c>
      <c r="G71" s="18" t="str">
        <f aca="false">IF(C71="","",SUMIF($C$5:$C$104,C71,$F$5:$F$104))</f>
        <v/>
      </c>
      <c r="H71" s="19"/>
    </row>
    <row r="72" customFormat="false" ht="15" hidden="false" customHeight="false" outlineLevel="0" collapsed="false">
      <c r="A72" s="5" t="n">
        <v>1068</v>
      </c>
      <c r="B72" s="19"/>
      <c r="C72" s="19"/>
      <c r="D72" s="18" t="str">
        <f aca="false">IF(C72="","",IFERROR(VLOOKUP(C72,Policías!$A$5:$B$63,2,FALSE()),""))</f>
        <v/>
      </c>
      <c r="E72" s="19"/>
      <c r="F72" s="18" t="n">
        <f aca="false">IF(C72="",0,1)</f>
        <v>0</v>
      </c>
      <c r="G72" s="18" t="str">
        <f aca="false">IF(C72="","",SUMIF($C$5:$C$104,C72,$F$5:$F$104))</f>
        <v/>
      </c>
      <c r="H72" s="19"/>
    </row>
    <row r="73" customFormat="false" ht="15" hidden="false" customHeight="false" outlineLevel="0" collapsed="false">
      <c r="A73" s="5" t="n">
        <v>1069</v>
      </c>
      <c r="B73" s="19"/>
      <c r="C73" s="19"/>
      <c r="D73" s="18" t="str">
        <f aca="false">IF(C73="","",IFERROR(VLOOKUP(C73,Policías!$A$5:$B$63,2,FALSE()),""))</f>
        <v/>
      </c>
      <c r="E73" s="19"/>
      <c r="F73" s="18" t="n">
        <f aca="false">IF(C73="",0,1)</f>
        <v>0</v>
      </c>
      <c r="G73" s="18" t="str">
        <f aca="false">IF(C73="","",SUMIF($C$5:$C$104,C73,$F$5:$F$104))</f>
        <v/>
      </c>
      <c r="H73" s="19"/>
    </row>
    <row r="74" customFormat="false" ht="15" hidden="false" customHeight="false" outlineLevel="0" collapsed="false">
      <c r="A74" s="5" t="n">
        <v>1070</v>
      </c>
      <c r="B74" s="19"/>
      <c r="C74" s="19"/>
      <c r="D74" s="18" t="str">
        <f aca="false">IF(C74="","",IFERROR(VLOOKUP(C74,Policías!$A$5:$B$63,2,FALSE()),""))</f>
        <v/>
      </c>
      <c r="E74" s="19"/>
      <c r="F74" s="18" t="n">
        <f aca="false">IF(C74="",0,1)</f>
        <v>0</v>
      </c>
      <c r="G74" s="18" t="str">
        <f aca="false">IF(C74="","",SUMIF($C$5:$C$104,C74,$F$5:$F$104))</f>
        <v/>
      </c>
      <c r="H74" s="19"/>
    </row>
    <row r="75" customFormat="false" ht="15" hidden="false" customHeight="false" outlineLevel="0" collapsed="false">
      <c r="A75" s="5" t="n">
        <v>1071</v>
      </c>
      <c r="B75" s="19"/>
      <c r="C75" s="19"/>
      <c r="D75" s="18" t="str">
        <f aca="false">IF(C75="","",IFERROR(VLOOKUP(C75,Policías!$A$5:$B$63,2,FALSE()),""))</f>
        <v/>
      </c>
      <c r="E75" s="19"/>
      <c r="F75" s="18" t="n">
        <f aca="false">IF(C75="",0,1)</f>
        <v>0</v>
      </c>
      <c r="G75" s="18" t="str">
        <f aca="false">IF(C75="","",SUMIF($C$5:$C$104,C75,$F$5:$F$104))</f>
        <v/>
      </c>
      <c r="H75" s="19"/>
    </row>
    <row r="76" customFormat="false" ht="15" hidden="false" customHeight="false" outlineLevel="0" collapsed="false">
      <c r="A76" s="5" t="n">
        <v>1072</v>
      </c>
      <c r="B76" s="19"/>
      <c r="C76" s="19"/>
      <c r="D76" s="18" t="str">
        <f aca="false">IF(C76="","",IFERROR(VLOOKUP(C76,Policías!$A$5:$B$63,2,FALSE()),""))</f>
        <v/>
      </c>
      <c r="E76" s="19"/>
      <c r="F76" s="18" t="n">
        <f aca="false">IF(C76="",0,1)</f>
        <v>0</v>
      </c>
      <c r="G76" s="18" t="str">
        <f aca="false">IF(C76="","",SUMIF($C$5:$C$104,C76,$F$5:$F$104))</f>
        <v/>
      </c>
      <c r="H76" s="19"/>
    </row>
    <row r="77" customFormat="false" ht="15" hidden="false" customHeight="false" outlineLevel="0" collapsed="false">
      <c r="A77" s="5" t="n">
        <v>1073</v>
      </c>
      <c r="B77" s="19"/>
      <c r="C77" s="19"/>
      <c r="D77" s="18" t="str">
        <f aca="false">IF(C77="","",IFERROR(VLOOKUP(C77,Policías!$A$5:$B$63,2,FALSE()),""))</f>
        <v/>
      </c>
      <c r="E77" s="19"/>
      <c r="F77" s="18" t="n">
        <f aca="false">IF(C77="",0,1)</f>
        <v>0</v>
      </c>
      <c r="G77" s="18" t="str">
        <f aca="false">IF(C77="","",SUMIF($C$5:$C$104,C77,$F$5:$F$104))</f>
        <v/>
      </c>
      <c r="H77" s="19"/>
    </row>
    <row r="78" customFormat="false" ht="15" hidden="false" customHeight="false" outlineLevel="0" collapsed="false">
      <c r="A78" s="5" t="n">
        <v>1074</v>
      </c>
      <c r="B78" s="19"/>
      <c r="C78" s="19"/>
      <c r="D78" s="18" t="str">
        <f aca="false">IF(C78="","",IFERROR(VLOOKUP(C78,Policías!$A$5:$B$63,2,FALSE()),""))</f>
        <v/>
      </c>
      <c r="E78" s="19"/>
      <c r="F78" s="18" t="n">
        <f aca="false">IF(C78="",0,1)</f>
        <v>0</v>
      </c>
      <c r="G78" s="18" t="str">
        <f aca="false">IF(C78="","",SUMIF($C$5:$C$104,C78,$F$5:$F$104))</f>
        <v/>
      </c>
      <c r="H78" s="19"/>
    </row>
    <row r="79" customFormat="false" ht="15" hidden="false" customHeight="false" outlineLevel="0" collapsed="false">
      <c r="A79" s="5" t="n">
        <v>1075</v>
      </c>
      <c r="B79" s="19"/>
      <c r="C79" s="19"/>
      <c r="D79" s="18" t="str">
        <f aca="false">IF(C79="","",IFERROR(VLOOKUP(C79,Policías!$A$5:$B$63,2,FALSE()),""))</f>
        <v/>
      </c>
      <c r="E79" s="19"/>
      <c r="F79" s="18" t="n">
        <f aca="false">IF(C79="",0,1)</f>
        <v>0</v>
      </c>
      <c r="G79" s="18" t="str">
        <f aca="false">IF(C79="","",SUMIF($C$5:$C$104,C79,$F$5:$F$104))</f>
        <v/>
      </c>
      <c r="H79" s="19"/>
    </row>
    <row r="80" customFormat="false" ht="15" hidden="false" customHeight="false" outlineLevel="0" collapsed="false">
      <c r="A80" s="5" t="n">
        <v>1076</v>
      </c>
      <c r="B80" s="19"/>
      <c r="C80" s="19"/>
      <c r="D80" s="18" t="str">
        <f aca="false">IF(C80="","",IFERROR(VLOOKUP(C80,Policías!$A$5:$B$63,2,FALSE()),""))</f>
        <v/>
      </c>
      <c r="E80" s="19"/>
      <c r="F80" s="18" t="n">
        <f aca="false">IF(C80="",0,1)</f>
        <v>0</v>
      </c>
      <c r="G80" s="18" t="str">
        <f aca="false">IF(C80="","",SUMIF($C$5:$C$104,C80,$F$5:$F$104))</f>
        <v/>
      </c>
      <c r="H80" s="19"/>
    </row>
    <row r="81" customFormat="false" ht="15" hidden="false" customHeight="false" outlineLevel="0" collapsed="false">
      <c r="A81" s="5" t="n">
        <v>1077</v>
      </c>
      <c r="B81" s="19"/>
      <c r="C81" s="19"/>
      <c r="D81" s="18" t="str">
        <f aca="false">IF(C81="","",IFERROR(VLOOKUP(C81,Policías!$A$5:$B$63,2,FALSE()),""))</f>
        <v/>
      </c>
      <c r="E81" s="19"/>
      <c r="F81" s="18" t="n">
        <f aca="false">IF(C81="",0,1)</f>
        <v>0</v>
      </c>
      <c r="G81" s="18" t="str">
        <f aca="false">IF(C81="","",SUMIF($C$5:$C$104,C81,$F$5:$F$104))</f>
        <v/>
      </c>
      <c r="H81" s="19"/>
    </row>
    <row r="82" customFormat="false" ht="15" hidden="false" customHeight="false" outlineLevel="0" collapsed="false">
      <c r="A82" s="5" t="n">
        <v>1078</v>
      </c>
      <c r="B82" s="19"/>
      <c r="C82" s="19"/>
      <c r="D82" s="18" t="str">
        <f aca="false">IF(C82="","",IFERROR(VLOOKUP(C82,Policías!$A$5:$B$63,2,FALSE()),""))</f>
        <v/>
      </c>
      <c r="E82" s="19"/>
      <c r="F82" s="18" t="n">
        <f aca="false">IF(C82="",0,1)</f>
        <v>0</v>
      </c>
      <c r="G82" s="18" t="str">
        <f aca="false">IF(C82="","",SUMIF($C$5:$C$104,C82,$F$5:$F$104))</f>
        <v/>
      </c>
      <c r="H82" s="19"/>
    </row>
    <row r="83" customFormat="false" ht="15" hidden="false" customHeight="false" outlineLevel="0" collapsed="false">
      <c r="A83" s="5" t="n">
        <v>1079</v>
      </c>
      <c r="B83" s="19"/>
      <c r="C83" s="19"/>
      <c r="D83" s="18" t="str">
        <f aca="false">IF(C83="","",IFERROR(VLOOKUP(C83,Policías!$A$5:$B$63,2,FALSE()),""))</f>
        <v/>
      </c>
      <c r="E83" s="19"/>
      <c r="F83" s="18" t="n">
        <f aca="false">IF(C83="",0,1)</f>
        <v>0</v>
      </c>
      <c r="G83" s="18" t="str">
        <f aca="false">IF(C83="","",SUMIF($C$5:$C$104,C83,$F$5:$F$104))</f>
        <v/>
      </c>
      <c r="H83" s="19"/>
    </row>
    <row r="84" customFormat="false" ht="15" hidden="false" customHeight="false" outlineLevel="0" collapsed="false">
      <c r="A84" s="5" t="n">
        <v>1080</v>
      </c>
      <c r="B84" s="19"/>
      <c r="C84" s="19"/>
      <c r="D84" s="18" t="str">
        <f aca="false">IF(C84="","",IFERROR(VLOOKUP(C84,Policías!$A$5:$B$63,2,FALSE()),""))</f>
        <v/>
      </c>
      <c r="E84" s="19"/>
      <c r="F84" s="18" t="n">
        <f aca="false">IF(C84="",0,1)</f>
        <v>0</v>
      </c>
      <c r="G84" s="18" t="str">
        <f aca="false">IF(C84="","",SUMIF($C$5:$C$104,C84,$F$5:$F$104))</f>
        <v/>
      </c>
      <c r="H84" s="19"/>
    </row>
    <row r="85" customFormat="false" ht="15" hidden="false" customHeight="false" outlineLevel="0" collapsed="false">
      <c r="A85" s="5" t="n">
        <v>1081</v>
      </c>
      <c r="B85" s="19"/>
      <c r="C85" s="19"/>
      <c r="D85" s="18" t="str">
        <f aca="false">IF(C85="","",IFERROR(VLOOKUP(C85,Policías!$A$5:$B$63,2,FALSE()),""))</f>
        <v/>
      </c>
      <c r="E85" s="19"/>
      <c r="F85" s="18" t="n">
        <f aca="false">IF(C85="",0,1)</f>
        <v>0</v>
      </c>
      <c r="G85" s="18" t="str">
        <f aca="false">IF(C85="","",SUMIF($C$5:$C$104,C85,$F$5:$F$104))</f>
        <v/>
      </c>
      <c r="H85" s="19"/>
    </row>
    <row r="86" customFormat="false" ht="15" hidden="false" customHeight="false" outlineLevel="0" collapsed="false">
      <c r="A86" s="5" t="n">
        <v>1082</v>
      </c>
      <c r="B86" s="19"/>
      <c r="C86" s="19"/>
      <c r="D86" s="18" t="str">
        <f aca="false">IF(C86="","",IFERROR(VLOOKUP(C86,Policías!$A$5:$B$63,2,FALSE()),""))</f>
        <v/>
      </c>
      <c r="E86" s="19"/>
      <c r="F86" s="18" t="n">
        <f aca="false">IF(C86="",0,1)</f>
        <v>0</v>
      </c>
      <c r="G86" s="18" t="str">
        <f aca="false">IF(C86="","",SUMIF($C$5:$C$104,C86,$F$5:$F$104))</f>
        <v/>
      </c>
      <c r="H86" s="19"/>
    </row>
    <row r="87" customFormat="false" ht="15" hidden="false" customHeight="false" outlineLevel="0" collapsed="false">
      <c r="A87" s="5" t="n">
        <v>1083</v>
      </c>
      <c r="B87" s="19"/>
      <c r="C87" s="19"/>
      <c r="D87" s="18" t="str">
        <f aca="false">IF(C87="","",IFERROR(VLOOKUP(C87,Policías!$A$5:$B$63,2,FALSE()),""))</f>
        <v/>
      </c>
      <c r="E87" s="19"/>
      <c r="F87" s="18" t="n">
        <f aca="false">IF(C87="",0,1)</f>
        <v>0</v>
      </c>
      <c r="G87" s="18" t="str">
        <f aca="false">IF(C87="","",SUMIF($C$5:$C$104,C87,$F$5:$F$104))</f>
        <v/>
      </c>
      <c r="H87" s="19"/>
    </row>
    <row r="88" customFormat="false" ht="15" hidden="false" customHeight="false" outlineLevel="0" collapsed="false">
      <c r="A88" s="5" t="n">
        <v>1084</v>
      </c>
      <c r="B88" s="19"/>
      <c r="C88" s="19"/>
      <c r="D88" s="18" t="str">
        <f aca="false">IF(C88="","",IFERROR(VLOOKUP(C88,Policías!$A$5:$B$63,2,FALSE()),""))</f>
        <v/>
      </c>
      <c r="E88" s="19"/>
      <c r="F88" s="18" t="n">
        <f aca="false">IF(C88="",0,1)</f>
        <v>0</v>
      </c>
      <c r="G88" s="18" t="str">
        <f aca="false">IF(C88="","",SUMIF($C$5:$C$104,C88,$F$5:$F$104))</f>
        <v/>
      </c>
      <c r="H88" s="19"/>
    </row>
    <row r="89" customFormat="false" ht="15" hidden="false" customHeight="false" outlineLevel="0" collapsed="false">
      <c r="A89" s="5" t="n">
        <v>1085</v>
      </c>
      <c r="B89" s="19"/>
      <c r="C89" s="19"/>
      <c r="D89" s="18" t="str">
        <f aca="false">IF(C89="","",IFERROR(VLOOKUP(C89,Policías!$A$5:$B$63,2,FALSE()),""))</f>
        <v/>
      </c>
      <c r="E89" s="19"/>
      <c r="F89" s="18" t="n">
        <f aca="false">IF(C89="",0,1)</f>
        <v>0</v>
      </c>
      <c r="G89" s="18" t="str">
        <f aca="false">IF(C89="","",SUMIF($C$5:$C$104,C89,$F$5:$F$104))</f>
        <v/>
      </c>
      <c r="H89" s="19"/>
    </row>
    <row r="90" customFormat="false" ht="15" hidden="false" customHeight="false" outlineLevel="0" collapsed="false">
      <c r="A90" s="5" t="n">
        <v>1086</v>
      </c>
      <c r="B90" s="19"/>
      <c r="C90" s="19"/>
      <c r="D90" s="18" t="str">
        <f aca="false">IF(C90="","",IFERROR(VLOOKUP(C90,Policías!$A$5:$B$63,2,FALSE()),""))</f>
        <v/>
      </c>
      <c r="E90" s="19"/>
      <c r="F90" s="18" t="n">
        <f aca="false">IF(C90="",0,1)</f>
        <v>0</v>
      </c>
      <c r="G90" s="18" t="str">
        <f aca="false">IF(C90="","",SUMIF($C$5:$C$104,C90,$F$5:$F$104))</f>
        <v/>
      </c>
      <c r="H90" s="19"/>
    </row>
    <row r="91" customFormat="false" ht="15" hidden="false" customHeight="false" outlineLevel="0" collapsed="false">
      <c r="A91" s="5" t="n">
        <v>1087</v>
      </c>
      <c r="B91" s="19"/>
      <c r="C91" s="19"/>
      <c r="D91" s="18" t="str">
        <f aca="false">IF(C91="","",IFERROR(VLOOKUP(C91,Policías!$A$5:$B$63,2,FALSE()),""))</f>
        <v/>
      </c>
      <c r="E91" s="19"/>
      <c r="F91" s="18" t="n">
        <f aca="false">IF(C91="",0,1)</f>
        <v>0</v>
      </c>
      <c r="G91" s="18" t="str">
        <f aca="false">IF(C91="","",SUMIF($C$5:$C$104,C91,$F$5:$F$104))</f>
        <v/>
      </c>
      <c r="H91" s="19"/>
    </row>
    <row r="92" customFormat="false" ht="15" hidden="false" customHeight="false" outlineLevel="0" collapsed="false">
      <c r="A92" s="5" t="n">
        <v>1088</v>
      </c>
      <c r="B92" s="19"/>
      <c r="C92" s="19"/>
      <c r="D92" s="18" t="str">
        <f aca="false">IF(C92="","",IFERROR(VLOOKUP(C92,Policías!$A$5:$B$63,2,FALSE()),""))</f>
        <v/>
      </c>
      <c r="E92" s="19"/>
      <c r="F92" s="18" t="n">
        <f aca="false">IF(C92="",0,1)</f>
        <v>0</v>
      </c>
      <c r="G92" s="18" t="str">
        <f aca="false">IF(C92="","",SUMIF($C$5:$C$104,C92,$F$5:$F$104))</f>
        <v/>
      </c>
      <c r="H92" s="19"/>
    </row>
    <row r="93" customFormat="false" ht="15" hidden="false" customHeight="false" outlineLevel="0" collapsed="false">
      <c r="A93" s="5" t="n">
        <v>1089</v>
      </c>
      <c r="B93" s="19"/>
      <c r="C93" s="19"/>
      <c r="D93" s="18" t="str">
        <f aca="false">IF(C93="","",IFERROR(VLOOKUP(C93,Policías!$A$5:$B$63,2,FALSE()),""))</f>
        <v/>
      </c>
      <c r="E93" s="19"/>
      <c r="F93" s="18" t="n">
        <f aca="false">IF(C93="",0,1)</f>
        <v>0</v>
      </c>
      <c r="G93" s="18" t="str">
        <f aca="false">IF(C93="","",SUMIF($C$5:$C$104,C93,$F$5:$F$104))</f>
        <v/>
      </c>
      <c r="H93" s="19"/>
    </row>
    <row r="94" customFormat="false" ht="15" hidden="false" customHeight="false" outlineLevel="0" collapsed="false">
      <c r="A94" s="5" t="n">
        <v>1090</v>
      </c>
      <c r="B94" s="19"/>
      <c r="C94" s="19"/>
      <c r="D94" s="18" t="str">
        <f aca="false">IF(C94="","",IFERROR(VLOOKUP(C94,Policías!$A$5:$B$63,2,FALSE()),""))</f>
        <v/>
      </c>
      <c r="E94" s="19"/>
      <c r="F94" s="18" t="n">
        <f aca="false">IF(C94="",0,1)</f>
        <v>0</v>
      </c>
      <c r="G94" s="18" t="str">
        <f aca="false">IF(C94="","",SUMIF($C$5:$C$104,C94,$F$5:$F$104))</f>
        <v/>
      </c>
      <c r="H94" s="19"/>
    </row>
    <row r="95" customFormat="false" ht="15" hidden="false" customHeight="false" outlineLevel="0" collapsed="false">
      <c r="A95" s="5" t="n">
        <v>1091</v>
      </c>
      <c r="B95" s="19"/>
      <c r="C95" s="19"/>
      <c r="D95" s="18" t="str">
        <f aca="false">IF(C95="","",IFERROR(VLOOKUP(C95,Policías!$A$5:$B$63,2,FALSE()),""))</f>
        <v/>
      </c>
      <c r="E95" s="19"/>
      <c r="F95" s="18" t="n">
        <f aca="false">IF(C95="",0,1)</f>
        <v>0</v>
      </c>
      <c r="G95" s="18" t="str">
        <f aca="false">IF(C95="","",SUMIF($C$5:$C$104,C95,$F$5:$F$104))</f>
        <v/>
      </c>
      <c r="H95" s="19"/>
    </row>
    <row r="96" customFormat="false" ht="15" hidden="false" customHeight="false" outlineLevel="0" collapsed="false">
      <c r="A96" s="5" t="n">
        <v>1092</v>
      </c>
      <c r="B96" s="19"/>
      <c r="C96" s="19"/>
      <c r="D96" s="18" t="str">
        <f aca="false">IF(C96="","",IFERROR(VLOOKUP(C96,Policías!$A$5:$B$63,2,FALSE()),""))</f>
        <v/>
      </c>
      <c r="E96" s="19"/>
      <c r="F96" s="18" t="n">
        <f aca="false">IF(C96="",0,1)</f>
        <v>0</v>
      </c>
      <c r="G96" s="18" t="str">
        <f aca="false">IF(C96="","",SUMIF($C$5:$C$104,C96,$F$5:$F$104))</f>
        <v/>
      </c>
      <c r="H96" s="19"/>
    </row>
    <row r="97" customFormat="false" ht="15" hidden="false" customHeight="false" outlineLevel="0" collapsed="false">
      <c r="A97" s="5" t="n">
        <v>1093</v>
      </c>
      <c r="B97" s="19"/>
      <c r="C97" s="19"/>
      <c r="D97" s="18" t="str">
        <f aca="false">IF(C97="","",IFERROR(VLOOKUP(C97,Policías!$A$5:$B$63,2,FALSE()),""))</f>
        <v/>
      </c>
      <c r="E97" s="19"/>
      <c r="F97" s="18" t="n">
        <f aca="false">IF(C97="",0,1)</f>
        <v>0</v>
      </c>
      <c r="G97" s="18" t="str">
        <f aca="false">IF(C97="","",SUMIF($C$5:$C$104,C97,$F$5:$F$104))</f>
        <v/>
      </c>
      <c r="H97" s="19"/>
    </row>
    <row r="98" customFormat="false" ht="15" hidden="false" customHeight="false" outlineLevel="0" collapsed="false">
      <c r="A98" s="5" t="n">
        <v>1094</v>
      </c>
      <c r="B98" s="19"/>
      <c r="C98" s="19"/>
      <c r="D98" s="18" t="str">
        <f aca="false">IF(C98="","",IFERROR(VLOOKUP(C98,Policías!$A$5:$B$63,2,FALSE()),""))</f>
        <v/>
      </c>
      <c r="E98" s="19"/>
      <c r="F98" s="18" t="n">
        <f aca="false">IF(C98="",0,1)</f>
        <v>0</v>
      </c>
      <c r="G98" s="18" t="str">
        <f aca="false">IF(C98="","",SUMIF($C$5:$C$104,C98,$F$5:$F$104))</f>
        <v/>
      </c>
      <c r="H98" s="19"/>
    </row>
    <row r="99" customFormat="false" ht="15" hidden="false" customHeight="false" outlineLevel="0" collapsed="false">
      <c r="A99" s="5" t="n">
        <v>1095</v>
      </c>
      <c r="B99" s="19"/>
      <c r="C99" s="19"/>
      <c r="D99" s="18" t="str">
        <f aca="false">IF(C99="","",IFERROR(VLOOKUP(C99,Policías!$A$5:$B$63,2,FALSE()),""))</f>
        <v/>
      </c>
      <c r="E99" s="19"/>
      <c r="F99" s="18" t="n">
        <f aca="false">IF(C99="",0,1)</f>
        <v>0</v>
      </c>
      <c r="G99" s="18" t="str">
        <f aca="false">IF(C99="","",SUMIF($C$5:$C$104,C99,$F$5:$F$104))</f>
        <v/>
      </c>
      <c r="H99" s="19"/>
    </row>
    <row r="100" customFormat="false" ht="15" hidden="false" customHeight="false" outlineLevel="0" collapsed="false">
      <c r="A100" s="5" t="n">
        <v>1096</v>
      </c>
      <c r="B100" s="19"/>
      <c r="C100" s="19"/>
      <c r="D100" s="18" t="str">
        <f aca="false">IF(C100="","",IFERROR(VLOOKUP(C100,Policías!$A$5:$B$63,2,FALSE()),""))</f>
        <v/>
      </c>
      <c r="E100" s="19"/>
      <c r="F100" s="18" t="n">
        <f aca="false">IF(C100="",0,1)</f>
        <v>0</v>
      </c>
      <c r="G100" s="18" t="str">
        <f aca="false">IF(C100="","",SUMIF($C$5:$C$104,C100,$F$5:$F$104))</f>
        <v/>
      </c>
      <c r="H100" s="19"/>
    </row>
    <row r="101" customFormat="false" ht="15" hidden="false" customHeight="false" outlineLevel="0" collapsed="false">
      <c r="A101" s="5" t="n">
        <v>1097</v>
      </c>
      <c r="B101" s="19"/>
      <c r="C101" s="19"/>
      <c r="D101" s="18" t="str">
        <f aca="false">IF(C101="","",IFERROR(VLOOKUP(C101,Policías!$A$5:$B$63,2,FALSE()),""))</f>
        <v/>
      </c>
      <c r="E101" s="19"/>
      <c r="F101" s="18" t="n">
        <f aca="false">IF(C101="",0,1)</f>
        <v>0</v>
      </c>
      <c r="G101" s="18" t="str">
        <f aca="false">IF(C101="","",SUMIF($C$5:$C$104,C101,$F$5:$F$104))</f>
        <v/>
      </c>
      <c r="H101" s="19"/>
    </row>
    <row r="102" customFormat="false" ht="15" hidden="false" customHeight="false" outlineLevel="0" collapsed="false">
      <c r="A102" s="5" t="n">
        <v>1098</v>
      </c>
      <c r="B102" s="19"/>
      <c r="C102" s="19"/>
      <c r="D102" s="18" t="str">
        <f aca="false">IF(C102="","",IFERROR(VLOOKUP(C102,Policías!$A$5:$B$63,2,FALSE()),""))</f>
        <v/>
      </c>
      <c r="E102" s="19"/>
      <c r="F102" s="18" t="n">
        <f aca="false">IF(C102="",0,1)</f>
        <v>0</v>
      </c>
      <c r="G102" s="18" t="str">
        <f aca="false">IF(C102="","",SUMIF($C$5:$C$104,C102,$F$5:$F$104))</f>
        <v/>
      </c>
      <c r="H102" s="19"/>
    </row>
    <row r="103" customFormat="false" ht="15" hidden="false" customHeight="false" outlineLevel="0" collapsed="false">
      <c r="A103" s="5" t="n">
        <v>1099</v>
      </c>
      <c r="B103" s="19"/>
      <c r="C103" s="19"/>
      <c r="D103" s="18" t="str">
        <f aca="false">IF(C103="","",IFERROR(VLOOKUP(C103,Policías!$A$5:$B$63,2,FALSE()),""))</f>
        <v/>
      </c>
      <c r="E103" s="19"/>
      <c r="F103" s="18" t="n">
        <f aca="false">IF(C103="",0,1)</f>
        <v>0</v>
      </c>
      <c r="G103" s="18" t="str">
        <f aca="false">IF(C103="","",SUMIF($C$5:$C$104,C103,$F$5:$F$104))</f>
        <v/>
      </c>
      <c r="H103" s="19"/>
    </row>
    <row r="104" customFormat="false" ht="15" hidden="false" customHeight="false" outlineLevel="0" collapsed="false">
      <c r="A104" s="5" t="n">
        <v>1100</v>
      </c>
      <c r="B104" s="19"/>
      <c r="C104" s="19"/>
      <c r="D104" s="18" t="str">
        <f aca="false">IF(C104="","",IFERROR(VLOOKUP(C104,Policías!$A$5:$B$63,2,FALSE()),""))</f>
        <v/>
      </c>
      <c r="E104" s="19"/>
      <c r="F104" s="18" t="n">
        <f aca="false">IF(C104="",0,1)</f>
        <v>0</v>
      </c>
      <c r="G104" s="18" t="str">
        <f aca="false">IF(C104="","",SUMIF($C$5:$C$104,C104,$F$5:$F$104))</f>
        <v/>
      </c>
      <c r="H104" s="19"/>
    </row>
  </sheetData>
  <autoFilter ref="A4:H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.69"/>
    <col collapsed="false" customWidth="true" hidden="false" outlineLevel="0" max="2" min="2" style="1" width="29.4"/>
    <col collapsed="false" customWidth="true" hidden="false" outlineLevel="0" max="3" min="3" style="1" width="23.41"/>
    <col collapsed="false" customWidth="true" hidden="false" outlineLevel="0" max="4" min="4" style="1" width="23"/>
    <col collapsed="false" customWidth="true" hidden="false" outlineLevel="0" max="5" min="5" style="1" width="17.43"/>
    <col collapsed="false" customWidth="true" hidden="false" outlineLevel="0" max="6" min="6" style="1" width="28"/>
    <col collapsed="false" customWidth="true" hidden="false" outlineLevel="0" max="7" min="7" style="1" width="21.75"/>
    <col collapsed="false" customWidth="true" hidden="false" outlineLevel="0" max="8" min="8" style="1" width="26.62"/>
  </cols>
  <sheetData>
    <row r="1" customFormat="false" ht="18.55" hidden="false" customHeight="false" outlineLevel="0" collapsed="false">
      <c r="A1" s="2" t="s">
        <v>163</v>
      </c>
    </row>
    <row r="2" customFormat="false" ht="15" hidden="false" customHeight="false" outlineLevel="0" collapsed="false">
      <c r="A2" s="3"/>
    </row>
    <row r="4" customFormat="false" ht="15" hidden="false" customHeight="false" outlineLevel="0" collapsed="false">
      <c r="A4" s="20" t="s">
        <v>164</v>
      </c>
      <c r="B4" s="20"/>
    </row>
    <row r="5" customFormat="false" ht="15" hidden="false" customHeight="false" outlineLevel="0" collapsed="false">
      <c r="A5" s="21" t="s">
        <v>165</v>
      </c>
      <c r="B5" s="22" t="str">
        <f aca="false">VLOOKUP(Asignacion_Inscritos!$C$10,Asignacion_Inscritos!$A$6:$F$8,2,FALSE())</f>
        <v>15/08/2026</v>
      </c>
    </row>
    <row r="6" customFormat="false" ht="15" hidden="false" customHeight="false" outlineLevel="0" collapsed="false">
      <c r="A6" s="21" t="s">
        <v>166</v>
      </c>
      <c r="B6" s="22" t="s">
        <v>142</v>
      </c>
    </row>
    <row r="9" customFormat="false" ht="15" hidden="false" customHeight="false" outlineLevel="0" collapsed="false">
      <c r="A9" s="23" t="s">
        <v>2</v>
      </c>
      <c r="B9" s="24" t="s">
        <v>3</v>
      </c>
      <c r="C9" s="24" t="s">
        <v>4</v>
      </c>
      <c r="D9" s="23" t="s">
        <v>167</v>
      </c>
      <c r="E9" s="23" t="s">
        <v>168</v>
      </c>
      <c r="F9" s="23" t="s">
        <v>169</v>
      </c>
      <c r="G9" s="23" t="s">
        <v>170</v>
      </c>
      <c r="H9" s="23" t="s">
        <v>171</v>
      </c>
    </row>
    <row r="10" customFormat="false" ht="15" hidden="false" customHeight="false" outlineLevel="0" collapsed="false">
      <c r="A10" s="5" t="n">
        <f aca="false">Policías!A5</f>
        <v>101</v>
      </c>
      <c r="B10" s="6" t="str">
        <f aca="false">Policías!B5</f>
        <v>Francisca </v>
      </c>
      <c r="C10" s="6" t="str">
        <f aca="false">Policías!C5</f>
        <v>Inspectora</v>
      </c>
      <c r="D10" s="5" t="str">
        <f aca="false">INDEX(Cuadrante!$D$5:$AH$63,MATCH(A10,Cuadrante!$A$5:$A$63,0),MATCH($B$5,Cuadrante!$D$4:$AH$4,0))</f>
        <v>D</v>
      </c>
      <c r="E10" s="5" t="str">
        <f aca="false">IFERROR(INDEX(Cuadrante!$D$5:$AH$63,MATCH(A10,Cuadrante!$A$5:$A$63,0),MATCH($B$5,Cuadrante!$D$4:$AH$4,0)-1),"N/A")</f>
        <v>M</v>
      </c>
      <c r="F10" s="5" t="str">
        <f aca="false">IF(E10="N","RESTRINGIDO (Viene de Noche)","APTO")</f>
        <v>APTO</v>
      </c>
      <c r="G10" s="5" t="n">
        <f aca="false">SUMIF(Historico_Extras!$C$5:$C$104,A10,Historico_Extras!$F$5:$F$104)</f>
        <v>2</v>
      </c>
      <c r="H10" s="5" t="str">
        <f aca="false">IF(OR(D10="VAC",D10="BAJA",D10="AP",D10="HS"),"NO DISPONIBLE ("&amp;D10&amp;")",IF(D10&lt;&gt;"D","DISPONIBLE DOBLANDO",IF(F10="RESTRINGIDO (Viene de Noche)","RESTRINGIDO (Descanso 24h)",IF(G10=0,"PRIORITARIO LIBRE (0 ext)","ELEGIBLE LIBRE ("&amp;G10&amp;" ext)"))))</f>
        <v>ELEGIBLE LIBRE (2 ext)</v>
      </c>
    </row>
    <row r="11" customFormat="false" ht="15" hidden="false" customHeight="false" outlineLevel="0" collapsed="false">
      <c r="A11" s="5" t="n">
        <f aca="false">Policías!A6</f>
        <v>102</v>
      </c>
      <c r="B11" s="6" t="str">
        <f aca="false">Policías!B6</f>
        <v>Manuel </v>
      </c>
      <c r="C11" s="6" t="str">
        <f aca="false">Policías!C6</f>
        <v>Subinspector</v>
      </c>
      <c r="D11" s="5" t="str">
        <f aca="false">INDEX(Cuadrante!$D$5:$AH$63,MATCH(A11,Cuadrante!$A$5:$A$63,0),MATCH($B$5,Cuadrante!$D$4:$AH$4,0))</f>
        <v>D</v>
      </c>
      <c r="E11" s="5" t="str">
        <f aca="false">IFERROR(INDEX(Cuadrante!$D$5:$AH$63,MATCH(A11,Cuadrante!$A$5:$A$63,0),MATCH($B$5,Cuadrante!$D$4:$AH$4,0)-1),"N/A")</f>
        <v>M</v>
      </c>
      <c r="F11" s="5" t="str">
        <f aca="false">IF(E11="N","RESTRINGIDO (Viene de Noche)","APTO")</f>
        <v>APTO</v>
      </c>
      <c r="G11" s="5" t="n">
        <f aca="false">SUMIF(Historico_Extras!$C$5:$C$104,A11,Historico_Extras!$F$5:$F$104)</f>
        <v>0</v>
      </c>
      <c r="H11" s="5" t="str">
        <f aca="false">IF(OR(D11="VAC",D11="BAJA",D11="AP",D11="HS"),"NO DISPONIBLE ("&amp;D11&amp;")",IF(D11&lt;&gt;"D","DISPONIBLE DOBLANDO",IF(F11="RESTRINGIDO (Viene de Noche)","RESTRINGIDO (Descanso 24h)",IF(G11=0,"PRIORITARIO LIBRE (0 ext)","ELEGIBLE LIBRE ("&amp;G11&amp;" ext)"))))</f>
        <v>PRIORITARIO LIBRE (0 ext)</v>
      </c>
    </row>
    <row r="12" customFormat="false" ht="15" hidden="false" customHeight="false" outlineLevel="0" collapsed="false">
      <c r="A12" s="5" t="n">
        <f aca="false">Policías!A7</f>
        <v>103</v>
      </c>
      <c r="B12" s="6" t="str">
        <f aca="false">Policías!B7</f>
        <v>Juan</v>
      </c>
      <c r="C12" s="6" t="str">
        <f aca="false">Policías!C7</f>
        <v>Oficial Policía</v>
      </c>
      <c r="D12" s="5" t="str">
        <f aca="false">INDEX(Cuadrante!$D$5:$AH$63,MATCH(A12,Cuadrante!$A$5:$A$63,0),MATCH($B$5,Cuadrante!$D$4:$AH$4,0))</f>
        <v>M</v>
      </c>
      <c r="E12" s="5" t="str">
        <f aca="false">IFERROR(INDEX(Cuadrante!$D$5:$AH$63,MATCH(A12,Cuadrante!$A$5:$A$63,0),MATCH($B$5,Cuadrante!$D$4:$AH$4,0)-1),"N/A")</f>
        <v>M</v>
      </c>
      <c r="F12" s="5" t="str">
        <f aca="false">IF(E12="N","RESTRINGIDO (Viene de Noche)","APTO")</f>
        <v>APTO</v>
      </c>
      <c r="G12" s="5" t="n">
        <f aca="false">SUMIF(Historico_Extras!$C$5:$C$104,A12,Historico_Extras!$F$5:$F$104)</f>
        <v>1</v>
      </c>
      <c r="H12" s="5" t="str">
        <f aca="false">IF(OR(D12="VAC",D12="BAJA",D12="AP",D12="HS"),"NO DISPONIBLE ("&amp;D12&amp;")",IF(D12&lt;&gt;"D","DISPONIBLE DOBLANDO",IF(F12="RESTRINGIDO (Viene de Noche)","RESTRINGIDO (Descanso 24h)",IF(G12=0,"PRIORITARIO LIBRE (0 ext)","ELEGIBLE LIBRE ("&amp;G12&amp;" ext)"))))</f>
        <v>DISPONIBLE DOBLANDO</v>
      </c>
    </row>
    <row r="13" customFormat="false" ht="15" hidden="false" customHeight="false" outlineLevel="0" collapsed="false">
      <c r="A13" s="5" t="n">
        <f aca="false">Policías!A8</f>
        <v>104</v>
      </c>
      <c r="B13" s="6" t="str">
        <f aca="false">Policías!B8</f>
        <v>Diego</v>
      </c>
      <c r="C13" s="6" t="str">
        <f aca="false">Policías!C8</f>
        <v>Oficial Policía</v>
      </c>
      <c r="D13" s="5" t="str">
        <f aca="false">INDEX(Cuadrante!$D$5:$AH$63,MATCH(A13,Cuadrante!$A$5:$A$63,0),MATCH($B$5,Cuadrante!$D$4:$AH$4,0))</f>
        <v>BAJA</v>
      </c>
      <c r="E13" s="5" t="str">
        <f aca="false">IFERROR(INDEX(Cuadrante!$D$5:$AH$63,MATCH(A13,Cuadrante!$A$5:$A$63,0),MATCH($B$5,Cuadrante!$D$4:$AH$4,0)-1),"N/A")</f>
        <v>BAJA</v>
      </c>
      <c r="F13" s="5" t="str">
        <f aca="false">IF(E13="N","RESTRINGIDO (Viene de Noche)","APTO")</f>
        <v>APTO</v>
      </c>
      <c r="G13" s="5" t="n">
        <f aca="false">SUMIF(Historico_Extras!$C$5:$C$104,A13,Historico_Extras!$F$5:$F$104)</f>
        <v>0</v>
      </c>
      <c r="H13" s="5" t="str">
        <f aca="false">IF(OR(D13="VAC",D13="BAJA",D13="AP",D13="HS"),"NO DISPONIBLE ("&amp;D13&amp;")",IF(D13&lt;&gt;"D","DISPONIBLE DOBLANDO",IF(F13="RESTRINGIDO (Viene de Noche)","RESTRINGIDO (Descanso 24h)",IF(G13=0,"PRIORITARIO LIBRE (0 ext)","ELEGIBLE LIBRE ("&amp;G13&amp;" ext)"))))</f>
        <v>NO DISPONIBLE (BAJA)</v>
      </c>
    </row>
    <row r="14" customFormat="false" ht="15" hidden="false" customHeight="false" outlineLevel="0" collapsed="false">
      <c r="A14" s="5" t="n">
        <f aca="false">Policías!A9</f>
        <v>105</v>
      </c>
      <c r="B14" s="6" t="str">
        <f aca="false">Policías!B9</f>
        <v>Adrián</v>
      </c>
      <c r="C14" s="6" t="str">
        <f aca="false">Policías!C9</f>
        <v>Oficial Policía</v>
      </c>
      <c r="D14" s="5" t="str">
        <f aca="false">INDEX(Cuadrante!$D$5:$AH$63,MATCH(A14,Cuadrante!$A$5:$A$63,0),MATCH($B$5,Cuadrante!$D$4:$AH$4,0))</f>
        <v>D</v>
      </c>
      <c r="E14" s="5" t="str">
        <f aca="false">IFERROR(INDEX(Cuadrante!$D$5:$AH$63,MATCH(A14,Cuadrante!$A$5:$A$63,0),MATCH($B$5,Cuadrante!$D$4:$AH$4,0)-1),"N/A")</f>
        <v>D</v>
      </c>
      <c r="F14" s="5" t="str">
        <f aca="false">IF(E14="N","RESTRINGIDO (Viene de Noche)","APTO")</f>
        <v>APTO</v>
      </c>
      <c r="G14" s="5" t="n">
        <f aca="false">SUMIF(Historico_Extras!$C$5:$C$104,A14,Historico_Extras!$F$5:$F$104)</f>
        <v>0</v>
      </c>
      <c r="H14" s="5" t="str">
        <f aca="false">IF(OR(D14="VAC",D14="BAJA",D14="AP",D14="HS"),"NO DISPONIBLE ("&amp;D14&amp;")",IF(D14&lt;&gt;"D","DISPONIBLE DOBLANDO",IF(F14="RESTRINGIDO (Viene de Noche)","RESTRINGIDO (Descanso 24h)",IF(G14=0,"PRIORITARIO LIBRE (0 ext)","ELEGIBLE LIBRE ("&amp;G14&amp;" ext)"))))</f>
        <v>PRIORITARIO LIBRE (0 ext)</v>
      </c>
    </row>
    <row r="15" customFormat="false" ht="15" hidden="false" customHeight="false" outlineLevel="0" collapsed="false">
      <c r="A15" s="5" t="n">
        <f aca="false">Policías!A10</f>
        <v>106</v>
      </c>
      <c r="B15" s="6" t="str">
        <f aca="false">Policías!B10</f>
        <v>Juan Rafael </v>
      </c>
      <c r="C15" s="6" t="str">
        <f aca="false">Policías!C10</f>
        <v>Oficial Policía</v>
      </c>
      <c r="D15" s="5" t="str">
        <f aca="false">INDEX(Cuadrante!$D$5:$AH$63,MATCH(A15,Cuadrante!$A$5:$A$63,0),MATCH($B$5,Cuadrante!$D$4:$AH$4,0))</f>
        <v>T</v>
      </c>
      <c r="E15" s="5" t="str">
        <f aca="false">IFERROR(INDEX(Cuadrante!$D$5:$AH$63,MATCH(A15,Cuadrante!$A$5:$A$63,0),MATCH($B$5,Cuadrante!$D$4:$AH$4,0)-1),"N/A")</f>
        <v>M</v>
      </c>
      <c r="F15" s="5" t="str">
        <f aca="false">IF(E15="N","RESTRINGIDO (Viene de Noche)","APTO")</f>
        <v>APTO</v>
      </c>
      <c r="G15" s="5" t="n">
        <f aca="false">SUMIF(Historico_Extras!$C$5:$C$104,A15,Historico_Extras!$F$5:$F$104)</f>
        <v>0</v>
      </c>
      <c r="H15" s="5" t="str">
        <f aca="false">IF(OR(D15="VAC",D15="BAJA",D15="AP",D15="HS"),"NO DISPONIBLE ("&amp;D15&amp;")",IF(D15&lt;&gt;"D","DISPONIBLE DOBLANDO",IF(F15="RESTRINGIDO (Viene de Noche)","RESTRINGIDO (Descanso 24h)",IF(G15=0,"PRIORITARIO LIBRE (0 ext)","ELEGIBLE LIBRE ("&amp;G15&amp;" ext)"))))</f>
        <v>DISPONIBLE DOBLANDO</v>
      </c>
    </row>
    <row r="16" customFormat="false" ht="15" hidden="false" customHeight="false" outlineLevel="0" collapsed="false">
      <c r="A16" s="5" t="n">
        <f aca="false">Policías!A11</f>
        <v>107</v>
      </c>
      <c r="B16" s="6" t="str">
        <f aca="false">Policías!B11</f>
        <v>Matías </v>
      </c>
      <c r="C16" s="6" t="str">
        <f aca="false">Policías!C11</f>
        <v>Oficial Policía</v>
      </c>
      <c r="D16" s="5" t="str">
        <f aca="false">INDEX(Cuadrante!$D$5:$AH$63,MATCH(A16,Cuadrante!$A$5:$A$63,0),MATCH($B$5,Cuadrante!$D$4:$AH$4,0))</f>
        <v>D</v>
      </c>
      <c r="E16" s="5" t="str">
        <f aca="false">IFERROR(INDEX(Cuadrante!$D$5:$AH$63,MATCH(A16,Cuadrante!$A$5:$A$63,0),MATCH($B$5,Cuadrante!$D$4:$AH$4,0)-1),"N/A")</f>
        <v>D</v>
      </c>
      <c r="F16" s="5" t="str">
        <f aca="false">IF(E16="N","RESTRINGIDO (Viene de Noche)","APTO")</f>
        <v>APTO</v>
      </c>
      <c r="G16" s="5" t="n">
        <f aca="false">SUMIF(Historico_Extras!$C$5:$C$104,A16,Historico_Extras!$F$5:$F$104)</f>
        <v>0</v>
      </c>
      <c r="H16" s="5" t="str">
        <f aca="false">IF(OR(D16="VAC",D16="BAJA",D16="AP",D16="HS"),"NO DISPONIBLE ("&amp;D16&amp;")",IF(D16&lt;&gt;"D","DISPONIBLE DOBLANDO",IF(F16="RESTRINGIDO (Viene de Noche)","RESTRINGIDO (Descanso 24h)",IF(G16=0,"PRIORITARIO LIBRE (0 ext)","ELEGIBLE LIBRE ("&amp;G16&amp;" ext)"))))</f>
        <v>PRIORITARIO LIBRE (0 ext)</v>
      </c>
    </row>
    <row r="17" customFormat="false" ht="15" hidden="false" customHeight="false" outlineLevel="0" collapsed="false">
      <c r="A17" s="5" t="n">
        <f aca="false">Policías!A12</f>
        <v>108</v>
      </c>
      <c r="B17" s="6" t="str">
        <f aca="false">Policías!B12</f>
        <v>Manuel 2</v>
      </c>
      <c r="C17" s="6" t="str">
        <f aca="false">Policías!C12</f>
        <v>Oficial Policía</v>
      </c>
      <c r="D17" s="5" t="str">
        <f aca="false">INDEX(Cuadrante!$D$5:$AH$63,MATCH(A17,Cuadrante!$A$5:$A$63,0),MATCH($B$5,Cuadrante!$D$4:$AH$4,0))</f>
        <v>D</v>
      </c>
      <c r="E17" s="5" t="str">
        <f aca="false">IFERROR(INDEX(Cuadrante!$D$5:$AH$63,MATCH(A17,Cuadrante!$A$5:$A$63,0),MATCH($B$5,Cuadrante!$D$4:$AH$4,0)-1),"N/A")</f>
        <v>D</v>
      </c>
      <c r="F17" s="5" t="str">
        <f aca="false">IF(E17="N","RESTRINGIDO (Viene de Noche)","APTO")</f>
        <v>APTO</v>
      </c>
      <c r="G17" s="5" t="n">
        <f aca="false">SUMIF(Historico_Extras!$C$5:$C$104,A17,Historico_Extras!$F$5:$F$104)</f>
        <v>0</v>
      </c>
      <c r="H17" s="5" t="str">
        <f aca="false">IF(OR(D17="VAC",D17="BAJA",D17="AP",D17="HS"),"NO DISPONIBLE ("&amp;D17&amp;")",IF(D17&lt;&gt;"D","DISPONIBLE DOBLANDO",IF(F17="RESTRINGIDO (Viene de Noche)","RESTRINGIDO (Descanso 24h)",IF(G17=0,"PRIORITARIO LIBRE (0 ext)","ELEGIBLE LIBRE ("&amp;G17&amp;" ext)"))))</f>
        <v>PRIORITARIO LIBRE (0 ext)</v>
      </c>
    </row>
    <row r="18" customFormat="false" ht="15" hidden="false" customHeight="false" outlineLevel="0" collapsed="false">
      <c r="A18" s="5" t="n">
        <f aca="false">Policías!A13</f>
        <v>109</v>
      </c>
      <c r="B18" s="6" t="str">
        <f aca="false">Policías!B13</f>
        <v>Manuel 3</v>
      </c>
      <c r="C18" s="6" t="str">
        <f aca="false">Policías!C13</f>
        <v>Oficial Policía Organizativo</v>
      </c>
      <c r="D18" s="5" t="str">
        <f aca="false">INDEX(Cuadrante!$D$5:$AH$63,MATCH(A18,Cuadrante!$A$5:$A$63,0),MATCH($B$5,Cuadrante!$D$4:$AH$4,0))</f>
        <v>D</v>
      </c>
      <c r="E18" s="5" t="str">
        <f aca="false">IFERROR(INDEX(Cuadrante!$D$5:$AH$63,MATCH(A18,Cuadrante!$A$5:$A$63,0),MATCH($B$5,Cuadrante!$D$4:$AH$4,0)-1),"N/A")</f>
        <v>M</v>
      </c>
      <c r="F18" s="5" t="str">
        <f aca="false">IF(E18="N","RESTRINGIDO (Viene de Noche)","APTO")</f>
        <v>APTO</v>
      </c>
      <c r="G18" s="5" t="n">
        <f aca="false">SUMIF(Historico_Extras!$C$5:$C$104,A18,Historico_Extras!$F$5:$F$104)</f>
        <v>0</v>
      </c>
      <c r="H18" s="5" t="str">
        <f aca="false">IF(OR(D18="VAC",D18="BAJA",D18="AP",D18="HS"),"NO DISPONIBLE ("&amp;D18&amp;")",IF(D18&lt;&gt;"D","DISPONIBLE DOBLANDO",IF(F18="RESTRINGIDO (Viene de Noche)","RESTRINGIDO (Descanso 24h)",IF(G18=0,"PRIORITARIO LIBRE (0 ext)","ELEGIBLE LIBRE ("&amp;G18&amp;" ext)"))))</f>
        <v>PRIORITARIO LIBRE (0 ext)</v>
      </c>
    </row>
    <row r="19" customFormat="false" ht="15" hidden="false" customHeight="false" outlineLevel="0" collapsed="false">
      <c r="A19" s="5" t="n">
        <f aca="false">Policías!A14</f>
        <v>110</v>
      </c>
      <c r="B19" s="6" t="str">
        <f aca="false">Policías!B14</f>
        <v>Julián </v>
      </c>
      <c r="C19" s="6" t="str">
        <f aca="false">Policías!C14</f>
        <v>Policía</v>
      </c>
      <c r="D19" s="5" t="str">
        <f aca="false">INDEX(Cuadrante!$D$5:$AH$63,MATCH(A19,Cuadrante!$A$5:$A$63,0),MATCH($B$5,Cuadrante!$D$4:$AH$4,0))</f>
        <v>D</v>
      </c>
      <c r="E19" s="5" t="str">
        <f aca="false">IFERROR(INDEX(Cuadrante!$D$5:$AH$63,MATCH(A19,Cuadrante!$A$5:$A$63,0),MATCH($B$5,Cuadrante!$D$4:$AH$4,0)-1),"N/A")</f>
        <v>M</v>
      </c>
      <c r="F19" s="5" t="str">
        <f aca="false">IF(E19="N","RESTRINGIDO (Viene de Noche)","APTO")</f>
        <v>APTO</v>
      </c>
      <c r="G19" s="5" t="n">
        <f aca="false">SUMIF(Historico_Extras!$C$5:$C$104,A19,Historico_Extras!$F$5:$F$104)</f>
        <v>0</v>
      </c>
      <c r="H19" s="5" t="str">
        <f aca="false">IF(OR(D19="VAC",D19="BAJA",D19="AP",D19="HS"),"NO DISPONIBLE ("&amp;D19&amp;")",IF(D19&lt;&gt;"D","DISPONIBLE DOBLANDO",IF(F19="RESTRINGIDO (Viene de Noche)","RESTRINGIDO (Descanso 24h)",IF(G19=0,"PRIORITARIO LIBRE (0 ext)","ELEGIBLE LIBRE ("&amp;G19&amp;" ext)"))))</f>
        <v>PRIORITARIO LIBRE (0 ext)</v>
      </c>
    </row>
    <row r="20" customFormat="false" ht="15" hidden="false" customHeight="false" outlineLevel="0" collapsed="false">
      <c r="A20" s="5" t="n">
        <f aca="false">Policías!A15</f>
        <v>111</v>
      </c>
      <c r="B20" s="6" t="str">
        <f aca="false">Policías!B15</f>
        <v>Rocío </v>
      </c>
      <c r="C20" s="6" t="str">
        <f aca="false">Policías!C15</f>
        <v>Policía</v>
      </c>
      <c r="D20" s="5" t="str">
        <f aca="false">INDEX(Cuadrante!$D$5:$AH$63,MATCH(A20,Cuadrante!$A$5:$A$63,0),MATCH($B$5,Cuadrante!$D$4:$AH$4,0))</f>
        <v>M</v>
      </c>
      <c r="E20" s="5" t="str">
        <f aca="false">IFERROR(INDEX(Cuadrante!$D$5:$AH$63,MATCH(A20,Cuadrante!$A$5:$A$63,0),MATCH($B$5,Cuadrante!$D$4:$AH$4,0)-1),"N/A")</f>
        <v>M</v>
      </c>
      <c r="F20" s="5" t="str">
        <f aca="false">IF(E20="N","RESTRINGIDO (Viene de Noche)","APTO")</f>
        <v>APTO</v>
      </c>
      <c r="G20" s="5" t="n">
        <f aca="false">SUMIF(Historico_Extras!$C$5:$C$104,A20,Historico_Extras!$F$5:$F$104)</f>
        <v>0</v>
      </c>
      <c r="H20" s="5" t="str">
        <f aca="false">IF(OR(D20="VAC",D20="BAJA",D20="AP",D20="HS"),"NO DISPONIBLE ("&amp;D20&amp;")",IF(D20&lt;&gt;"D","DISPONIBLE DOBLANDO",IF(F20="RESTRINGIDO (Viene de Noche)","RESTRINGIDO (Descanso 24h)",IF(G20=0,"PRIORITARIO LIBRE (0 ext)","ELEGIBLE LIBRE ("&amp;G20&amp;" ext)"))))</f>
        <v>DISPONIBLE DOBLANDO</v>
      </c>
    </row>
    <row r="21" customFormat="false" ht="15" hidden="false" customHeight="false" outlineLevel="0" collapsed="false">
      <c r="A21" s="5" t="n">
        <f aca="false">Policías!A16</f>
        <v>112</v>
      </c>
      <c r="B21" s="6" t="str">
        <f aca="false">Policías!B16</f>
        <v>Juan Jesús </v>
      </c>
      <c r="C21" s="6" t="str">
        <f aca="false">Policías!C16</f>
        <v>Policía</v>
      </c>
      <c r="D21" s="5" t="str">
        <f aca="false">INDEX(Cuadrante!$D$5:$AH$63,MATCH(A21,Cuadrante!$A$5:$A$63,0),MATCH($B$5,Cuadrante!$D$4:$AH$4,0))</f>
        <v>D</v>
      </c>
      <c r="E21" s="5" t="str">
        <f aca="false">IFERROR(INDEX(Cuadrante!$D$5:$AH$63,MATCH(A21,Cuadrante!$A$5:$A$63,0),MATCH($B$5,Cuadrante!$D$4:$AH$4,0)-1),"N/A")</f>
        <v>D</v>
      </c>
      <c r="F21" s="5" t="str">
        <f aca="false">IF(E21="N","RESTRINGIDO (Viene de Noche)","APTO")</f>
        <v>APTO</v>
      </c>
      <c r="G21" s="5" t="n">
        <f aca="false">SUMIF(Historico_Extras!$C$5:$C$104,A21,Historico_Extras!$F$5:$F$104)</f>
        <v>0</v>
      </c>
      <c r="H21" s="5" t="str">
        <f aca="false">IF(OR(D21="VAC",D21="BAJA",D21="AP",D21="HS"),"NO DISPONIBLE ("&amp;D21&amp;")",IF(D21&lt;&gt;"D","DISPONIBLE DOBLANDO",IF(F21="RESTRINGIDO (Viene de Noche)","RESTRINGIDO (Descanso 24h)",IF(G21=0,"PRIORITARIO LIBRE (0 ext)","ELEGIBLE LIBRE ("&amp;G21&amp;" ext)"))))</f>
        <v>PRIORITARIO LIBRE (0 ext)</v>
      </c>
    </row>
    <row r="22" customFormat="false" ht="15" hidden="false" customHeight="false" outlineLevel="0" collapsed="false">
      <c r="A22" s="5" t="n">
        <f aca="false">Policías!A17</f>
        <v>113</v>
      </c>
      <c r="B22" s="6" t="str">
        <f aca="false">Policías!B17</f>
        <v>Jorge</v>
      </c>
      <c r="C22" s="6" t="str">
        <f aca="false">Policías!C17</f>
        <v>Policía</v>
      </c>
      <c r="D22" s="5" t="str">
        <f aca="false">INDEX(Cuadrante!$D$5:$AH$63,MATCH(A22,Cuadrante!$A$5:$A$63,0),MATCH($B$5,Cuadrante!$D$4:$AH$4,0))</f>
        <v>D</v>
      </c>
      <c r="E22" s="5" t="str">
        <f aca="false">IFERROR(INDEX(Cuadrante!$D$5:$AH$63,MATCH(A22,Cuadrante!$A$5:$A$63,0),MATCH($B$5,Cuadrante!$D$4:$AH$4,0)-1),"N/A")</f>
        <v>D</v>
      </c>
      <c r="F22" s="5" t="str">
        <f aca="false">IF(E22="N","RESTRINGIDO (Viene de Noche)","APTO")</f>
        <v>APTO</v>
      </c>
      <c r="G22" s="5" t="n">
        <f aca="false">SUMIF(Historico_Extras!$C$5:$C$104,A22,Historico_Extras!$F$5:$F$104)</f>
        <v>0</v>
      </c>
      <c r="H22" s="5" t="str">
        <f aca="false">IF(OR(D22="VAC",D22="BAJA",D22="AP",D22="HS"),"NO DISPONIBLE ("&amp;D22&amp;")",IF(D22&lt;&gt;"D","DISPONIBLE DOBLANDO",IF(F22="RESTRINGIDO (Viene de Noche)","RESTRINGIDO (Descanso 24h)",IF(G22=0,"PRIORITARIO LIBRE (0 ext)","ELEGIBLE LIBRE ("&amp;G22&amp;" ext)"))))</f>
        <v>PRIORITARIO LIBRE (0 ext)</v>
      </c>
    </row>
    <row r="23" customFormat="false" ht="15" hidden="false" customHeight="false" outlineLevel="0" collapsed="false">
      <c r="A23" s="5" t="n">
        <f aca="false">Policías!A18</f>
        <v>114</v>
      </c>
      <c r="B23" s="6" t="str">
        <f aca="false">Policías!B18</f>
        <v>Maria José </v>
      </c>
      <c r="C23" s="6" t="str">
        <f aca="false">Policías!C18</f>
        <v>Policía</v>
      </c>
      <c r="D23" s="5" t="str">
        <f aca="false">INDEX(Cuadrante!$D$5:$AH$63,MATCH(A23,Cuadrante!$A$5:$A$63,0),MATCH($B$5,Cuadrante!$D$4:$AH$4,0))</f>
        <v>D</v>
      </c>
      <c r="E23" s="5" t="str">
        <f aca="false">IFERROR(INDEX(Cuadrante!$D$5:$AH$63,MATCH(A23,Cuadrante!$A$5:$A$63,0),MATCH($B$5,Cuadrante!$D$4:$AH$4,0)-1),"N/A")</f>
        <v>M</v>
      </c>
      <c r="F23" s="5" t="str">
        <f aca="false">IF(E23="N","RESTRINGIDO (Viene de Noche)","APTO")</f>
        <v>APTO</v>
      </c>
      <c r="G23" s="5" t="n">
        <f aca="false">SUMIF(Historico_Extras!$C$5:$C$104,A23,Historico_Extras!$F$5:$F$104)</f>
        <v>0</v>
      </c>
      <c r="H23" s="5" t="str">
        <f aca="false">IF(OR(D23="VAC",D23="BAJA",D23="AP",D23="HS"),"NO DISPONIBLE ("&amp;D23&amp;")",IF(D23&lt;&gt;"D","DISPONIBLE DOBLANDO",IF(F23="RESTRINGIDO (Viene de Noche)","RESTRINGIDO (Descanso 24h)",IF(G23=0,"PRIORITARIO LIBRE (0 ext)","ELEGIBLE LIBRE ("&amp;G23&amp;" ext)"))))</f>
        <v>PRIORITARIO LIBRE (0 ext)</v>
      </c>
    </row>
    <row r="24" customFormat="false" ht="15" hidden="false" customHeight="false" outlineLevel="0" collapsed="false">
      <c r="A24" s="5" t="n">
        <f aca="false">Policías!A19</f>
        <v>115</v>
      </c>
      <c r="B24" s="6" t="str">
        <f aca="false">Policías!B19</f>
        <v>Martín Francisco </v>
      </c>
      <c r="C24" s="6" t="str">
        <f aca="false">Policías!C19</f>
        <v>Policía</v>
      </c>
      <c r="D24" s="5" t="str">
        <f aca="false">INDEX(Cuadrante!$D$5:$AH$63,MATCH(A24,Cuadrante!$A$5:$A$63,0),MATCH($B$5,Cuadrante!$D$4:$AH$4,0))</f>
        <v>D</v>
      </c>
      <c r="E24" s="5" t="str">
        <f aca="false">IFERROR(INDEX(Cuadrante!$D$5:$AH$63,MATCH(A24,Cuadrante!$A$5:$A$63,0),MATCH($B$5,Cuadrante!$D$4:$AH$4,0)-1),"N/A")</f>
        <v>N</v>
      </c>
      <c r="F24" s="5" t="str">
        <f aca="false">IF(E24="N","RESTRINGIDO (Viene de Noche)","APTO")</f>
        <v>RESTRINGIDO (Viene de Noche)</v>
      </c>
      <c r="G24" s="5" t="n">
        <f aca="false">SUMIF(Historico_Extras!$C$5:$C$104,A24,Historico_Extras!$F$5:$F$104)</f>
        <v>0</v>
      </c>
      <c r="H24" s="5" t="str">
        <f aca="false">IF(OR(D24="VAC",D24="BAJA",D24="AP",D24="HS"),"NO DISPONIBLE ("&amp;D24&amp;")",IF(D24&lt;&gt;"D","DISPONIBLE DOBLANDO",IF(F24="RESTRINGIDO (Viene de Noche)","RESTRINGIDO (Descanso 24h)",IF(G24=0,"PRIORITARIO LIBRE (0 ext)","ELEGIBLE LIBRE ("&amp;G24&amp;" ext)"))))</f>
        <v>RESTRINGIDO (Descanso 24h)</v>
      </c>
    </row>
    <row r="25" customFormat="false" ht="15" hidden="false" customHeight="false" outlineLevel="0" collapsed="false">
      <c r="A25" s="5" t="n">
        <f aca="false">Policías!A20</f>
        <v>116</v>
      </c>
      <c r="B25" s="6" t="str">
        <f aca="false">Policías!B20</f>
        <v>Bartolomé </v>
      </c>
      <c r="C25" s="6" t="str">
        <f aca="false">Policías!C20</f>
        <v>Policía</v>
      </c>
      <c r="D25" s="5" t="str">
        <f aca="false">INDEX(Cuadrante!$D$5:$AH$63,MATCH(A25,Cuadrante!$A$5:$A$63,0),MATCH($B$5,Cuadrante!$D$4:$AH$4,0))</f>
        <v>N</v>
      </c>
      <c r="E25" s="5" t="str">
        <f aca="false">IFERROR(INDEX(Cuadrante!$D$5:$AH$63,MATCH(A25,Cuadrante!$A$5:$A$63,0),MATCH($B$5,Cuadrante!$D$4:$AH$4,0)-1),"N/A")</f>
        <v>T</v>
      </c>
      <c r="F25" s="5" t="str">
        <f aca="false">IF(E25="N","RESTRINGIDO (Viene de Noche)","APTO")</f>
        <v>APTO</v>
      </c>
      <c r="G25" s="5" t="n">
        <f aca="false">SUMIF(Historico_Extras!$C$5:$C$104,A25,Historico_Extras!$F$5:$F$104)</f>
        <v>0</v>
      </c>
      <c r="H25" s="5" t="str">
        <f aca="false">IF(OR(D25="VAC",D25="BAJA",D25="AP",D25="HS"),"NO DISPONIBLE ("&amp;D25&amp;")",IF(D25&lt;&gt;"D","DISPONIBLE DOBLANDO",IF(F25="RESTRINGIDO (Viene de Noche)","RESTRINGIDO (Descanso 24h)",IF(G25=0,"PRIORITARIO LIBRE (0 ext)","ELEGIBLE LIBRE ("&amp;G25&amp;" ext)"))))</f>
        <v>DISPONIBLE DOBLANDO</v>
      </c>
    </row>
    <row r="26" customFormat="false" ht="15" hidden="false" customHeight="false" outlineLevel="0" collapsed="false">
      <c r="A26" s="5" t="n">
        <f aca="false">Policías!A21</f>
        <v>117</v>
      </c>
      <c r="B26" s="6" t="str">
        <f aca="false">Policías!B21</f>
        <v>Miguel Ángel </v>
      </c>
      <c r="C26" s="6" t="str">
        <f aca="false">Policías!C21</f>
        <v>Policía</v>
      </c>
      <c r="D26" s="5" t="str">
        <f aca="false">INDEX(Cuadrante!$D$5:$AH$63,MATCH(A26,Cuadrante!$A$5:$A$63,0),MATCH($B$5,Cuadrante!$D$4:$AH$4,0))</f>
        <v>D</v>
      </c>
      <c r="E26" s="5" t="str">
        <f aca="false">IFERROR(INDEX(Cuadrante!$D$5:$AH$63,MATCH(A26,Cuadrante!$A$5:$A$63,0),MATCH($B$5,Cuadrante!$D$4:$AH$4,0)-1),"N/A")</f>
        <v>D</v>
      </c>
      <c r="F26" s="5" t="str">
        <f aca="false">IF(E26="N","RESTRINGIDO (Viene de Noche)","APTO")</f>
        <v>APTO</v>
      </c>
      <c r="G26" s="5" t="n">
        <f aca="false">SUMIF(Historico_Extras!$C$5:$C$104,A26,Historico_Extras!$F$5:$F$104)</f>
        <v>0</v>
      </c>
      <c r="H26" s="5" t="str">
        <f aca="false">IF(OR(D26="VAC",D26="BAJA",D26="AP",D26="HS"),"NO DISPONIBLE ("&amp;D26&amp;")",IF(D26&lt;&gt;"D","DISPONIBLE DOBLANDO",IF(F26="RESTRINGIDO (Viene de Noche)","RESTRINGIDO (Descanso 24h)",IF(G26=0,"PRIORITARIO LIBRE (0 ext)","ELEGIBLE LIBRE ("&amp;G26&amp;" ext)"))))</f>
        <v>PRIORITARIO LIBRE (0 ext)</v>
      </c>
    </row>
    <row r="27" customFormat="false" ht="15" hidden="false" customHeight="false" outlineLevel="0" collapsed="false">
      <c r="A27" s="5" t="n">
        <f aca="false">Policías!A22</f>
        <v>118</v>
      </c>
      <c r="B27" s="6" t="str">
        <f aca="false">Policías!B22</f>
        <v>José </v>
      </c>
      <c r="C27" s="6" t="str">
        <f aca="false">Policías!C22</f>
        <v>Policía</v>
      </c>
      <c r="D27" s="5" t="str">
        <f aca="false">INDEX(Cuadrante!$D$5:$AH$63,MATCH(A27,Cuadrante!$A$5:$A$63,0),MATCH($B$5,Cuadrante!$D$4:$AH$4,0))</f>
        <v>T</v>
      </c>
      <c r="E27" s="5" t="str">
        <f aca="false">IFERROR(INDEX(Cuadrante!$D$5:$AH$63,MATCH(A27,Cuadrante!$A$5:$A$63,0),MATCH($B$5,Cuadrante!$D$4:$AH$4,0)-1),"N/A")</f>
        <v>M</v>
      </c>
      <c r="F27" s="5" t="str">
        <f aca="false">IF(E27="N","RESTRINGIDO (Viene de Noche)","APTO")</f>
        <v>APTO</v>
      </c>
      <c r="G27" s="5" t="n">
        <f aca="false">SUMIF(Historico_Extras!$C$5:$C$104,A27,Historico_Extras!$F$5:$F$104)</f>
        <v>0</v>
      </c>
      <c r="H27" s="5" t="str">
        <f aca="false">IF(OR(D27="VAC",D27="BAJA",D27="AP",D27="HS"),"NO DISPONIBLE ("&amp;D27&amp;")",IF(D27&lt;&gt;"D","DISPONIBLE DOBLANDO",IF(F27="RESTRINGIDO (Viene de Noche)","RESTRINGIDO (Descanso 24h)",IF(G27=0,"PRIORITARIO LIBRE (0 ext)","ELEGIBLE LIBRE ("&amp;G27&amp;" ext)"))))</f>
        <v>DISPONIBLE DOBLANDO</v>
      </c>
    </row>
    <row r="28" customFormat="false" ht="15" hidden="false" customHeight="false" outlineLevel="0" collapsed="false">
      <c r="A28" s="5" t="n">
        <f aca="false">Policías!A23</f>
        <v>119</v>
      </c>
      <c r="B28" s="6" t="str">
        <f aca="false">Policías!B23</f>
        <v>Francisco José </v>
      </c>
      <c r="C28" s="6" t="str">
        <f aca="false">Policías!C23</f>
        <v>Policía</v>
      </c>
      <c r="D28" s="5" t="str">
        <f aca="false">INDEX(Cuadrante!$D$5:$AH$63,MATCH(A28,Cuadrante!$A$5:$A$63,0),MATCH($B$5,Cuadrante!$D$4:$AH$4,0))</f>
        <v>D</v>
      </c>
      <c r="E28" s="5" t="str">
        <f aca="false">IFERROR(INDEX(Cuadrante!$D$5:$AH$63,MATCH(A28,Cuadrante!$A$5:$A$63,0),MATCH($B$5,Cuadrante!$D$4:$AH$4,0)-1),"N/A")</f>
        <v>M</v>
      </c>
      <c r="F28" s="5" t="str">
        <f aca="false">IF(E28="N","RESTRINGIDO (Viene de Noche)","APTO")</f>
        <v>APTO</v>
      </c>
      <c r="G28" s="5" t="n">
        <f aca="false">SUMIF(Historico_Extras!$C$5:$C$104,A28,Historico_Extras!$F$5:$F$104)</f>
        <v>0</v>
      </c>
      <c r="H28" s="5" t="str">
        <f aca="false">IF(OR(D28="VAC",D28="BAJA",D28="AP",D28="HS"),"NO DISPONIBLE ("&amp;D28&amp;")",IF(D28&lt;&gt;"D","DISPONIBLE DOBLANDO",IF(F28="RESTRINGIDO (Viene de Noche)","RESTRINGIDO (Descanso 24h)",IF(G28=0,"PRIORITARIO LIBRE (0 ext)","ELEGIBLE LIBRE ("&amp;G28&amp;" ext)"))))</f>
        <v>PRIORITARIO LIBRE (0 ext)</v>
      </c>
    </row>
    <row r="29" customFormat="false" ht="15" hidden="false" customHeight="false" outlineLevel="0" collapsed="false">
      <c r="A29" s="5" t="n">
        <f aca="false">Policías!A24</f>
        <v>120</v>
      </c>
      <c r="B29" s="6" t="str">
        <f aca="false">Policías!B24</f>
        <v>Jose Antonio </v>
      </c>
      <c r="C29" s="6" t="str">
        <f aca="false">Policías!C24</f>
        <v>Policía</v>
      </c>
      <c r="D29" s="5" t="str">
        <f aca="false">INDEX(Cuadrante!$D$5:$AH$63,MATCH(A29,Cuadrante!$A$5:$A$63,0),MATCH($B$5,Cuadrante!$D$4:$AH$4,0))</f>
        <v>D</v>
      </c>
      <c r="E29" s="5" t="str">
        <f aca="false">IFERROR(INDEX(Cuadrante!$D$5:$AH$63,MATCH(A29,Cuadrante!$A$5:$A$63,0),MATCH($B$5,Cuadrante!$D$4:$AH$4,0)-1),"N/A")</f>
        <v>D</v>
      </c>
      <c r="F29" s="5" t="str">
        <f aca="false">IF(E29="N","RESTRINGIDO (Viene de Noche)","APTO")</f>
        <v>APTO</v>
      </c>
      <c r="G29" s="5" t="n">
        <f aca="false">SUMIF(Historico_Extras!$C$5:$C$104,A29,Historico_Extras!$F$5:$F$104)</f>
        <v>0</v>
      </c>
      <c r="H29" s="5" t="str">
        <f aca="false">IF(OR(D29="VAC",D29="BAJA",D29="AP",D29="HS"),"NO DISPONIBLE ("&amp;D29&amp;")",IF(D29&lt;&gt;"D","DISPONIBLE DOBLANDO",IF(F29="RESTRINGIDO (Viene de Noche)","RESTRINGIDO (Descanso 24h)",IF(G29=0,"PRIORITARIO LIBRE (0 ext)","ELEGIBLE LIBRE ("&amp;G29&amp;" ext)"))))</f>
        <v>PRIORITARIO LIBRE (0 ext)</v>
      </c>
    </row>
    <row r="30" customFormat="false" ht="15" hidden="false" customHeight="false" outlineLevel="0" collapsed="false">
      <c r="A30" s="5" t="n">
        <f aca="false">Policías!A25</f>
        <v>121</v>
      </c>
      <c r="B30" s="6" t="str">
        <f aca="false">Policías!B25</f>
        <v>De la Torre </v>
      </c>
      <c r="C30" s="6" t="str">
        <f aca="false">Policías!C25</f>
        <v>Policía</v>
      </c>
      <c r="D30" s="5" t="str">
        <f aca="false">INDEX(Cuadrante!$D$5:$AH$63,MATCH(A30,Cuadrante!$A$5:$A$63,0),MATCH($B$5,Cuadrante!$D$4:$AH$4,0))</f>
        <v>D</v>
      </c>
      <c r="E30" s="5" t="str">
        <f aca="false">IFERROR(INDEX(Cuadrante!$D$5:$AH$63,MATCH(A30,Cuadrante!$A$5:$A$63,0),MATCH($B$5,Cuadrante!$D$4:$AH$4,0)-1),"N/A")</f>
        <v>N</v>
      </c>
      <c r="F30" s="5" t="str">
        <f aca="false">IF(E30="N","RESTRINGIDO (Viene de Noche)","APTO")</f>
        <v>RESTRINGIDO (Viene de Noche)</v>
      </c>
      <c r="G30" s="5" t="n">
        <f aca="false">SUMIF(Historico_Extras!$C$5:$C$104,A30,Historico_Extras!$F$5:$F$104)</f>
        <v>0</v>
      </c>
      <c r="H30" s="5" t="str">
        <f aca="false">IF(OR(D30="VAC",D30="BAJA",D30="AP",D30="HS"),"NO DISPONIBLE ("&amp;D30&amp;")",IF(D30&lt;&gt;"D","DISPONIBLE DOBLANDO",IF(F30="RESTRINGIDO (Viene de Noche)","RESTRINGIDO (Descanso 24h)",IF(G30=0,"PRIORITARIO LIBRE (0 ext)","ELEGIBLE LIBRE ("&amp;G30&amp;" ext)"))))</f>
        <v>RESTRINGIDO (Descanso 24h)</v>
      </c>
    </row>
    <row r="31" customFormat="false" ht="15" hidden="false" customHeight="false" outlineLevel="0" collapsed="false">
      <c r="A31" s="5" t="n">
        <f aca="false">Policías!A26</f>
        <v>122</v>
      </c>
      <c r="B31" s="6" t="str">
        <f aca="false">Policías!B26</f>
        <v>Bartolomé 2</v>
      </c>
      <c r="C31" s="6" t="str">
        <f aca="false">Policías!C26</f>
        <v>Policía</v>
      </c>
      <c r="D31" s="5" t="str">
        <f aca="false">INDEX(Cuadrante!$D$5:$AH$63,MATCH(A31,Cuadrante!$A$5:$A$63,0),MATCH($B$5,Cuadrante!$D$4:$AH$4,0))</f>
        <v>N</v>
      </c>
      <c r="E31" s="5" t="str">
        <f aca="false">IFERROR(INDEX(Cuadrante!$D$5:$AH$63,MATCH(A31,Cuadrante!$A$5:$A$63,0),MATCH($B$5,Cuadrante!$D$4:$AH$4,0)-1),"N/A")</f>
        <v>T</v>
      </c>
      <c r="F31" s="5" t="str">
        <f aca="false">IF(E31="N","RESTRINGIDO (Viene de Noche)","APTO")</f>
        <v>APTO</v>
      </c>
      <c r="G31" s="5" t="n">
        <f aca="false">SUMIF(Historico_Extras!$C$5:$C$104,A31,Historico_Extras!$F$5:$F$104)</f>
        <v>0</v>
      </c>
      <c r="H31" s="5" t="str">
        <f aca="false">IF(OR(D31="VAC",D31="BAJA",D31="AP",D31="HS"),"NO DISPONIBLE ("&amp;D31&amp;")",IF(D31&lt;&gt;"D","DISPONIBLE DOBLANDO",IF(F31="RESTRINGIDO (Viene de Noche)","RESTRINGIDO (Descanso 24h)",IF(G31=0,"PRIORITARIO LIBRE (0 ext)","ELEGIBLE LIBRE ("&amp;G31&amp;" ext)"))))</f>
        <v>DISPONIBLE DOBLANDO</v>
      </c>
    </row>
    <row r="32" customFormat="false" ht="15" hidden="false" customHeight="false" outlineLevel="0" collapsed="false">
      <c r="A32" s="5" t="n">
        <f aca="false">Policías!A27</f>
        <v>123</v>
      </c>
      <c r="B32" s="6" t="str">
        <f aca="false">Policías!B27</f>
        <v>Pedro </v>
      </c>
      <c r="C32" s="6" t="str">
        <f aca="false">Policías!C27</f>
        <v>Policía</v>
      </c>
      <c r="D32" s="5" t="str">
        <f aca="false">INDEX(Cuadrante!$D$5:$AH$63,MATCH(A32,Cuadrante!$A$5:$A$63,0),MATCH($B$5,Cuadrante!$D$4:$AH$4,0))</f>
        <v>N</v>
      </c>
      <c r="E32" s="5" t="str">
        <f aca="false">IFERROR(INDEX(Cuadrante!$D$5:$AH$63,MATCH(A32,Cuadrante!$A$5:$A$63,0),MATCH($B$5,Cuadrante!$D$4:$AH$4,0)-1),"N/A")</f>
        <v>T</v>
      </c>
      <c r="F32" s="5" t="str">
        <f aca="false">IF(E32="N","RESTRINGIDO (Viene de Noche)","APTO")</f>
        <v>APTO</v>
      </c>
      <c r="G32" s="5" t="n">
        <f aca="false">SUMIF(Historico_Extras!$C$5:$C$104,A32,Historico_Extras!$F$5:$F$104)</f>
        <v>0</v>
      </c>
      <c r="H32" s="5" t="str">
        <f aca="false">IF(OR(D32="VAC",D32="BAJA",D32="AP",D32="HS"),"NO DISPONIBLE ("&amp;D32&amp;")",IF(D32&lt;&gt;"D","DISPONIBLE DOBLANDO",IF(F32="RESTRINGIDO (Viene de Noche)","RESTRINGIDO (Descanso 24h)",IF(G32=0,"PRIORITARIO LIBRE (0 ext)","ELEGIBLE LIBRE ("&amp;G32&amp;" ext)"))))</f>
        <v>DISPONIBLE DOBLANDO</v>
      </c>
    </row>
    <row r="33" customFormat="false" ht="15" hidden="false" customHeight="false" outlineLevel="0" collapsed="false">
      <c r="A33" s="5" t="n">
        <f aca="false">Policías!A28</f>
        <v>124</v>
      </c>
      <c r="B33" s="6" t="str">
        <f aca="false">Policías!B28</f>
        <v>José María</v>
      </c>
      <c r="C33" s="6" t="str">
        <f aca="false">Policías!C28</f>
        <v>Policía</v>
      </c>
      <c r="D33" s="5" t="str">
        <f aca="false">INDEX(Cuadrante!$D$5:$AH$63,MATCH(A33,Cuadrante!$A$5:$A$63,0),MATCH($B$5,Cuadrante!$D$4:$AH$4,0))</f>
        <v>D</v>
      </c>
      <c r="E33" s="5" t="str">
        <f aca="false">IFERROR(INDEX(Cuadrante!$D$5:$AH$63,MATCH(A33,Cuadrante!$A$5:$A$63,0),MATCH($B$5,Cuadrante!$D$4:$AH$4,0)-1),"N/A")</f>
        <v>M</v>
      </c>
      <c r="F33" s="5" t="str">
        <f aca="false">IF(E33="N","RESTRINGIDO (Viene de Noche)","APTO")</f>
        <v>APTO</v>
      </c>
      <c r="G33" s="5" t="n">
        <f aca="false">SUMIF(Historico_Extras!$C$5:$C$104,A33,Historico_Extras!$F$5:$F$104)</f>
        <v>0</v>
      </c>
      <c r="H33" s="5" t="str">
        <f aca="false">IF(OR(D33="VAC",D33="BAJA",D33="AP",D33="HS"),"NO DISPONIBLE ("&amp;D33&amp;")",IF(D33&lt;&gt;"D","DISPONIBLE DOBLANDO",IF(F33="RESTRINGIDO (Viene de Noche)","RESTRINGIDO (Descanso 24h)",IF(G33=0,"PRIORITARIO LIBRE (0 ext)","ELEGIBLE LIBRE ("&amp;G33&amp;" ext)"))))</f>
        <v>PRIORITARIO LIBRE (0 ext)</v>
      </c>
    </row>
    <row r="34" customFormat="false" ht="15" hidden="false" customHeight="false" outlineLevel="0" collapsed="false">
      <c r="A34" s="5" t="n">
        <f aca="false">Policías!A29</f>
        <v>125</v>
      </c>
      <c r="B34" s="6" t="str">
        <f aca="false">Policías!B29</f>
        <v>Antonio Manuel</v>
      </c>
      <c r="C34" s="6" t="str">
        <f aca="false">Policías!C29</f>
        <v>Policía</v>
      </c>
      <c r="D34" s="5" t="str">
        <f aca="false">INDEX(Cuadrante!$D$5:$AH$63,MATCH(A34,Cuadrante!$A$5:$A$63,0),MATCH($B$5,Cuadrante!$D$4:$AH$4,0))</f>
        <v>D</v>
      </c>
      <c r="E34" s="5" t="str">
        <f aca="false">IFERROR(INDEX(Cuadrante!$D$5:$AH$63,MATCH(A34,Cuadrante!$A$5:$A$63,0),MATCH($B$5,Cuadrante!$D$4:$AH$4,0)-1),"N/A")</f>
        <v>D</v>
      </c>
      <c r="F34" s="5" t="str">
        <f aca="false">IF(E34="N","RESTRINGIDO (Viene de Noche)","APTO")</f>
        <v>APTO</v>
      </c>
      <c r="G34" s="5" t="n">
        <f aca="false">SUMIF(Historico_Extras!$C$5:$C$104,A34,Historico_Extras!$F$5:$F$104)</f>
        <v>0</v>
      </c>
      <c r="H34" s="5" t="str">
        <f aca="false">IF(OR(D34="VAC",D34="BAJA",D34="AP",D34="HS"),"NO DISPONIBLE ("&amp;D34&amp;")",IF(D34&lt;&gt;"D","DISPONIBLE DOBLANDO",IF(F34="RESTRINGIDO (Viene de Noche)","RESTRINGIDO (Descanso 24h)",IF(G34=0,"PRIORITARIO LIBRE (0 ext)","ELEGIBLE LIBRE ("&amp;G34&amp;" ext)"))))</f>
        <v>PRIORITARIO LIBRE (0 ext)</v>
      </c>
    </row>
    <row r="35" customFormat="false" ht="15" hidden="false" customHeight="false" outlineLevel="0" collapsed="false">
      <c r="A35" s="5" t="n">
        <f aca="false">Policías!A30</f>
        <v>126</v>
      </c>
      <c r="B35" s="6" t="str">
        <f aca="false">Policías!B30</f>
        <v>Daniel </v>
      </c>
      <c r="C35" s="6" t="str">
        <f aca="false">Policías!C30</f>
        <v>Policía</v>
      </c>
      <c r="D35" s="5" t="str">
        <f aca="false">INDEX(Cuadrante!$D$5:$AH$63,MATCH(A35,Cuadrante!$A$5:$A$63,0),MATCH($B$5,Cuadrante!$D$4:$AH$4,0))</f>
        <v>N</v>
      </c>
      <c r="E35" s="5" t="str">
        <f aca="false">IFERROR(INDEX(Cuadrante!$D$5:$AH$63,MATCH(A35,Cuadrante!$A$5:$A$63,0),MATCH($B$5,Cuadrante!$D$4:$AH$4,0)-1),"N/A")</f>
        <v>T</v>
      </c>
      <c r="F35" s="5" t="str">
        <f aca="false">IF(E35="N","RESTRINGIDO (Viene de Noche)","APTO")</f>
        <v>APTO</v>
      </c>
      <c r="G35" s="5" t="n">
        <f aca="false">SUMIF(Historico_Extras!$C$5:$C$104,A35,Historico_Extras!$F$5:$F$104)</f>
        <v>0</v>
      </c>
      <c r="H35" s="5" t="str">
        <f aca="false">IF(OR(D35="VAC",D35="BAJA",D35="AP",D35="HS"),"NO DISPONIBLE ("&amp;D35&amp;")",IF(D35&lt;&gt;"D","DISPONIBLE DOBLANDO",IF(F35="RESTRINGIDO (Viene de Noche)","RESTRINGIDO (Descanso 24h)",IF(G35=0,"PRIORITARIO LIBRE (0 ext)","ELEGIBLE LIBRE ("&amp;G35&amp;" ext)"))))</f>
        <v>DISPONIBLE DOBLANDO</v>
      </c>
    </row>
    <row r="36" customFormat="false" ht="15" hidden="false" customHeight="false" outlineLevel="0" collapsed="false">
      <c r="A36" s="5" t="n">
        <f aca="false">Policías!A31</f>
        <v>127</v>
      </c>
      <c r="B36" s="6" t="str">
        <f aca="false">Policías!B31</f>
        <v>Marian</v>
      </c>
      <c r="C36" s="6" t="str">
        <f aca="false">Policías!C31</f>
        <v>Policía</v>
      </c>
      <c r="D36" s="5" t="str">
        <f aca="false">INDEX(Cuadrante!$D$5:$AH$63,MATCH(A36,Cuadrante!$A$5:$A$63,0),MATCH($B$5,Cuadrante!$D$4:$AH$4,0))</f>
        <v>D</v>
      </c>
      <c r="E36" s="5" t="str">
        <f aca="false">IFERROR(INDEX(Cuadrante!$D$5:$AH$63,MATCH(A36,Cuadrante!$A$5:$A$63,0),MATCH($B$5,Cuadrante!$D$4:$AH$4,0)-1),"N/A")</f>
        <v>D</v>
      </c>
      <c r="F36" s="5" t="str">
        <f aca="false">IF(E36="N","RESTRINGIDO (Viene de Noche)","APTO")</f>
        <v>APTO</v>
      </c>
      <c r="G36" s="5" t="n">
        <f aca="false">SUMIF(Historico_Extras!$C$5:$C$104,A36,Historico_Extras!$F$5:$F$104)</f>
        <v>0</v>
      </c>
      <c r="H36" s="5" t="str">
        <f aca="false">IF(OR(D36="VAC",D36="BAJA",D36="AP",D36="HS"),"NO DISPONIBLE ("&amp;D36&amp;")",IF(D36&lt;&gt;"D","DISPONIBLE DOBLANDO",IF(F36="RESTRINGIDO (Viene de Noche)","RESTRINGIDO (Descanso 24h)",IF(G36=0,"PRIORITARIO LIBRE (0 ext)","ELEGIBLE LIBRE ("&amp;G36&amp;" ext)"))))</f>
        <v>PRIORITARIO LIBRE (0 ext)</v>
      </c>
    </row>
    <row r="37" customFormat="false" ht="15" hidden="false" customHeight="false" outlineLevel="0" collapsed="false">
      <c r="A37" s="5" t="n">
        <f aca="false">Policías!A32</f>
        <v>128</v>
      </c>
      <c r="B37" s="6" t="str">
        <f aca="false">Policías!B32</f>
        <v>Concepción </v>
      </c>
      <c r="C37" s="6" t="str">
        <f aca="false">Policías!C32</f>
        <v>Policía</v>
      </c>
      <c r="D37" s="5" t="str">
        <f aca="false">INDEX(Cuadrante!$D$5:$AH$63,MATCH(A37,Cuadrante!$A$5:$A$63,0),MATCH($B$5,Cuadrante!$D$4:$AH$4,0))</f>
        <v>D</v>
      </c>
      <c r="E37" s="5" t="str">
        <f aca="false">IFERROR(INDEX(Cuadrante!$D$5:$AH$63,MATCH(A37,Cuadrante!$A$5:$A$63,0),MATCH($B$5,Cuadrante!$D$4:$AH$4,0)-1),"N/A")</f>
        <v>N</v>
      </c>
      <c r="F37" s="5" t="str">
        <f aca="false">IF(E37="N","RESTRINGIDO (Viene de Noche)","APTO")</f>
        <v>RESTRINGIDO (Viene de Noche)</v>
      </c>
      <c r="G37" s="5" t="n">
        <f aca="false">SUMIF(Historico_Extras!$C$5:$C$104,A37,Historico_Extras!$F$5:$F$104)</f>
        <v>0</v>
      </c>
      <c r="H37" s="5" t="str">
        <f aca="false">IF(OR(D37="VAC",D37="BAJA",D37="AP",D37="HS"),"NO DISPONIBLE ("&amp;D37&amp;")",IF(D37&lt;&gt;"D","DISPONIBLE DOBLANDO",IF(F37="RESTRINGIDO (Viene de Noche)","RESTRINGIDO (Descanso 24h)",IF(G37=0,"PRIORITARIO LIBRE (0 ext)","ELEGIBLE LIBRE ("&amp;G37&amp;" ext)"))))</f>
        <v>RESTRINGIDO (Descanso 24h)</v>
      </c>
    </row>
    <row r="38" customFormat="false" ht="15" hidden="false" customHeight="false" outlineLevel="0" collapsed="false">
      <c r="A38" s="5" t="n">
        <f aca="false">Policías!A33</f>
        <v>129</v>
      </c>
      <c r="B38" s="6" t="str">
        <f aca="false">Policías!B33</f>
        <v>Francisco </v>
      </c>
      <c r="C38" s="6" t="str">
        <f aca="false">Policías!C33</f>
        <v>Policía</v>
      </c>
      <c r="D38" s="5" t="str">
        <f aca="false">INDEX(Cuadrante!$D$5:$AH$63,MATCH(A38,Cuadrante!$A$5:$A$63,0),MATCH($B$5,Cuadrante!$D$4:$AH$4,0))</f>
        <v>D</v>
      </c>
      <c r="E38" s="5" t="str">
        <f aca="false">IFERROR(INDEX(Cuadrante!$D$5:$AH$63,MATCH(A38,Cuadrante!$A$5:$A$63,0),MATCH($B$5,Cuadrante!$D$4:$AH$4,0)-1),"N/A")</f>
        <v>N</v>
      </c>
      <c r="F38" s="5" t="str">
        <f aca="false">IF(E38="N","RESTRINGIDO (Viene de Noche)","APTO")</f>
        <v>RESTRINGIDO (Viene de Noche)</v>
      </c>
      <c r="G38" s="5" t="n">
        <f aca="false">SUMIF(Historico_Extras!$C$5:$C$104,A38,Historico_Extras!$F$5:$F$104)</f>
        <v>0</v>
      </c>
      <c r="H38" s="5" t="str">
        <f aca="false">IF(OR(D38="VAC",D38="BAJA",D38="AP",D38="HS"),"NO DISPONIBLE ("&amp;D38&amp;")",IF(D38&lt;&gt;"D","DISPONIBLE DOBLANDO",IF(F38="RESTRINGIDO (Viene de Noche)","RESTRINGIDO (Descanso 24h)",IF(G38=0,"PRIORITARIO LIBRE (0 ext)","ELEGIBLE LIBRE ("&amp;G38&amp;" ext)"))))</f>
        <v>RESTRINGIDO (Descanso 24h)</v>
      </c>
    </row>
    <row r="39" customFormat="false" ht="15" hidden="false" customHeight="false" outlineLevel="0" collapsed="false">
      <c r="A39" s="5" t="n">
        <f aca="false">Policías!A34</f>
        <v>130</v>
      </c>
      <c r="B39" s="6" t="str">
        <f aca="false">Policías!B34</f>
        <v>Antonio </v>
      </c>
      <c r="C39" s="6" t="str">
        <f aca="false">Policías!C34</f>
        <v>Policía</v>
      </c>
      <c r="D39" s="5" t="str">
        <f aca="false">INDEX(Cuadrante!$D$5:$AH$63,MATCH(A39,Cuadrante!$A$5:$A$63,0),MATCH($B$5,Cuadrante!$D$4:$AH$4,0))</f>
        <v>N</v>
      </c>
      <c r="E39" s="5" t="str">
        <f aca="false">IFERROR(INDEX(Cuadrante!$D$5:$AH$63,MATCH(A39,Cuadrante!$A$5:$A$63,0),MATCH($B$5,Cuadrante!$D$4:$AH$4,0)-1),"N/A")</f>
        <v>T</v>
      </c>
      <c r="F39" s="5" t="str">
        <f aca="false">IF(E39="N","RESTRINGIDO (Viene de Noche)","APTO")</f>
        <v>APTO</v>
      </c>
      <c r="G39" s="5" t="n">
        <f aca="false">SUMIF(Historico_Extras!$C$5:$C$104,A39,Historico_Extras!$F$5:$F$104)</f>
        <v>0</v>
      </c>
      <c r="H39" s="5" t="str">
        <f aca="false">IF(OR(D39="VAC",D39="BAJA",D39="AP",D39="HS"),"NO DISPONIBLE ("&amp;D39&amp;")",IF(D39&lt;&gt;"D","DISPONIBLE DOBLANDO",IF(F39="RESTRINGIDO (Viene de Noche)","RESTRINGIDO (Descanso 24h)",IF(G39=0,"PRIORITARIO LIBRE (0 ext)","ELEGIBLE LIBRE ("&amp;G39&amp;" ext)"))))</f>
        <v>DISPONIBLE DOBLANDO</v>
      </c>
    </row>
    <row r="40" customFormat="false" ht="15" hidden="false" customHeight="false" outlineLevel="0" collapsed="false">
      <c r="A40" s="5" t="n">
        <f aca="false">Policías!A35</f>
        <v>131</v>
      </c>
      <c r="B40" s="6" t="str">
        <f aca="false">Policías!B35</f>
        <v>Manuel Joaquín </v>
      </c>
      <c r="C40" s="6" t="str">
        <f aca="false">Policías!C35</f>
        <v>Policía</v>
      </c>
      <c r="D40" s="5" t="str">
        <f aca="false">INDEX(Cuadrante!$D$5:$AH$63,MATCH(A40,Cuadrante!$A$5:$A$63,0),MATCH($B$5,Cuadrante!$D$4:$AH$4,0))</f>
        <v>D</v>
      </c>
      <c r="E40" s="5" t="str">
        <f aca="false">IFERROR(INDEX(Cuadrante!$D$5:$AH$63,MATCH(A40,Cuadrante!$A$5:$A$63,0),MATCH($B$5,Cuadrante!$D$4:$AH$4,0)-1),"N/A")</f>
        <v>D</v>
      </c>
      <c r="F40" s="5" t="str">
        <f aca="false">IF(E40="N","RESTRINGIDO (Viene de Noche)","APTO")</f>
        <v>APTO</v>
      </c>
      <c r="G40" s="5" t="n">
        <f aca="false">SUMIF(Historico_Extras!$C$5:$C$104,A40,Historico_Extras!$F$5:$F$104)</f>
        <v>0</v>
      </c>
      <c r="H40" s="5" t="str">
        <f aca="false">IF(OR(D40="VAC",D40="BAJA",D40="AP",D40="HS"),"NO DISPONIBLE ("&amp;D40&amp;")",IF(D40&lt;&gt;"D","DISPONIBLE DOBLANDO",IF(F40="RESTRINGIDO (Viene de Noche)","RESTRINGIDO (Descanso 24h)",IF(G40=0,"PRIORITARIO LIBRE (0 ext)","ELEGIBLE LIBRE ("&amp;G40&amp;" ext)"))))</f>
        <v>PRIORITARIO LIBRE (0 ext)</v>
      </c>
    </row>
    <row r="41" customFormat="false" ht="15" hidden="false" customHeight="false" outlineLevel="0" collapsed="false">
      <c r="A41" s="5" t="n">
        <f aca="false">Policías!A36</f>
        <v>132</v>
      </c>
      <c r="B41" s="6" t="str">
        <f aca="false">Policías!B36</f>
        <v>Juan Antonio </v>
      </c>
      <c r="C41" s="6" t="str">
        <f aca="false">Policías!C36</f>
        <v>Policía</v>
      </c>
      <c r="D41" s="5" t="str">
        <f aca="false">INDEX(Cuadrante!$D$5:$AH$63,MATCH(A41,Cuadrante!$A$5:$A$63,0),MATCH($B$5,Cuadrante!$D$4:$AH$4,0))</f>
        <v>D</v>
      </c>
      <c r="E41" s="5" t="str">
        <f aca="false">IFERROR(INDEX(Cuadrante!$D$5:$AH$63,MATCH(A41,Cuadrante!$A$5:$A$63,0),MATCH($B$5,Cuadrante!$D$4:$AH$4,0)-1),"N/A")</f>
        <v>D</v>
      </c>
      <c r="F41" s="5" t="str">
        <f aca="false">IF(E41="N","RESTRINGIDO (Viene de Noche)","APTO")</f>
        <v>APTO</v>
      </c>
      <c r="G41" s="5" t="n">
        <f aca="false">SUMIF(Historico_Extras!$C$5:$C$104,A41,Historico_Extras!$F$5:$F$104)</f>
        <v>0</v>
      </c>
      <c r="H41" s="5" t="str">
        <f aca="false">IF(OR(D41="VAC",D41="BAJA",D41="AP",D41="HS"),"NO DISPONIBLE ("&amp;D41&amp;")",IF(D41&lt;&gt;"D","DISPONIBLE DOBLANDO",IF(F41="RESTRINGIDO (Viene de Noche)","RESTRINGIDO (Descanso 24h)",IF(G41=0,"PRIORITARIO LIBRE (0 ext)","ELEGIBLE LIBRE ("&amp;G41&amp;" ext)"))))</f>
        <v>PRIORITARIO LIBRE (0 ext)</v>
      </c>
    </row>
    <row r="42" customFormat="false" ht="15" hidden="false" customHeight="false" outlineLevel="0" collapsed="false">
      <c r="A42" s="5" t="n">
        <f aca="false">Policías!A37</f>
        <v>133</v>
      </c>
      <c r="B42" s="6" t="str">
        <f aca="false">Policías!B37</f>
        <v>Jose Manuel</v>
      </c>
      <c r="C42" s="6" t="str">
        <f aca="false">Policías!C37</f>
        <v>Policía</v>
      </c>
      <c r="D42" s="5" t="str">
        <f aca="false">INDEX(Cuadrante!$D$5:$AH$63,MATCH(A42,Cuadrante!$A$5:$A$63,0),MATCH($B$5,Cuadrante!$D$4:$AH$4,0))</f>
        <v>T</v>
      </c>
      <c r="E42" s="5" t="str">
        <f aca="false">IFERROR(INDEX(Cuadrante!$D$5:$AH$63,MATCH(A42,Cuadrante!$A$5:$A$63,0),MATCH($B$5,Cuadrante!$D$4:$AH$4,0)-1),"N/A")</f>
        <v>M</v>
      </c>
      <c r="F42" s="5" t="str">
        <f aca="false">IF(E42="N","RESTRINGIDO (Viene de Noche)","APTO")</f>
        <v>APTO</v>
      </c>
      <c r="G42" s="5" t="n">
        <f aca="false">SUMIF(Historico_Extras!$C$5:$C$104,A42,Historico_Extras!$F$5:$F$104)</f>
        <v>0</v>
      </c>
      <c r="H42" s="5" t="str">
        <f aca="false">IF(OR(D42="VAC",D42="BAJA",D42="AP",D42="HS"),"NO DISPONIBLE ("&amp;D42&amp;")",IF(D42&lt;&gt;"D","DISPONIBLE DOBLANDO",IF(F42="RESTRINGIDO (Viene de Noche)","RESTRINGIDO (Descanso 24h)",IF(G42=0,"PRIORITARIO LIBRE (0 ext)","ELEGIBLE LIBRE ("&amp;G42&amp;" ext)"))))</f>
        <v>DISPONIBLE DOBLANDO</v>
      </c>
    </row>
    <row r="43" customFormat="false" ht="15" hidden="false" customHeight="false" outlineLevel="0" collapsed="false">
      <c r="A43" s="5" t="n">
        <f aca="false">Policías!A38</f>
        <v>134</v>
      </c>
      <c r="B43" s="6" t="str">
        <f aca="false">Policías!B38</f>
        <v>José Antonio </v>
      </c>
      <c r="C43" s="6" t="str">
        <f aca="false">Policías!C38</f>
        <v>Policía</v>
      </c>
      <c r="D43" s="5" t="str">
        <f aca="false">INDEX(Cuadrante!$D$5:$AH$63,MATCH(A43,Cuadrante!$A$5:$A$63,0),MATCH($B$5,Cuadrante!$D$4:$AH$4,0))</f>
        <v>D</v>
      </c>
      <c r="E43" s="5" t="str">
        <f aca="false">IFERROR(INDEX(Cuadrante!$D$5:$AH$63,MATCH(A43,Cuadrante!$A$5:$A$63,0),MATCH($B$5,Cuadrante!$D$4:$AH$4,0)-1),"N/A")</f>
        <v>D</v>
      </c>
      <c r="F43" s="5" t="str">
        <f aca="false">IF(E43="N","RESTRINGIDO (Viene de Noche)","APTO")</f>
        <v>APTO</v>
      </c>
      <c r="G43" s="5" t="n">
        <f aca="false">SUMIF(Historico_Extras!$C$5:$C$104,A43,Historico_Extras!$F$5:$F$104)</f>
        <v>0</v>
      </c>
      <c r="H43" s="5" t="str">
        <f aca="false">IF(OR(D43="VAC",D43="BAJA",D43="AP",D43="HS"),"NO DISPONIBLE ("&amp;D43&amp;")",IF(D43&lt;&gt;"D","DISPONIBLE DOBLANDO",IF(F43="RESTRINGIDO (Viene de Noche)","RESTRINGIDO (Descanso 24h)",IF(G43=0,"PRIORITARIO LIBRE (0 ext)","ELEGIBLE LIBRE ("&amp;G43&amp;" ext)"))))</f>
        <v>PRIORITARIO LIBRE (0 ext)</v>
      </c>
    </row>
    <row r="44" customFormat="false" ht="15" hidden="false" customHeight="false" outlineLevel="0" collapsed="false">
      <c r="A44" s="5" t="n">
        <f aca="false">Policías!A39</f>
        <v>135</v>
      </c>
      <c r="B44" s="6" t="str">
        <f aca="false">Policías!B39</f>
        <v>Yolanda</v>
      </c>
      <c r="C44" s="6" t="str">
        <f aca="false">Policías!C39</f>
        <v>Policía</v>
      </c>
      <c r="D44" s="5" t="str">
        <f aca="false">INDEX(Cuadrante!$D$5:$AH$63,MATCH(A44,Cuadrante!$A$5:$A$63,0),MATCH($B$5,Cuadrante!$D$4:$AH$4,0))</f>
        <v>N</v>
      </c>
      <c r="E44" s="5" t="str">
        <f aca="false">IFERROR(INDEX(Cuadrante!$D$5:$AH$63,MATCH(A44,Cuadrante!$A$5:$A$63,0),MATCH($B$5,Cuadrante!$D$4:$AH$4,0)-1),"N/A")</f>
        <v>T</v>
      </c>
      <c r="F44" s="5" t="str">
        <f aca="false">IF(E44="N","RESTRINGIDO (Viene de Noche)","APTO")</f>
        <v>APTO</v>
      </c>
      <c r="G44" s="5" t="n">
        <f aca="false">SUMIF(Historico_Extras!$C$5:$C$104,A44,Historico_Extras!$F$5:$F$104)</f>
        <v>0</v>
      </c>
      <c r="H44" s="5" t="str">
        <f aca="false">IF(OR(D44="VAC",D44="BAJA",D44="AP",D44="HS"),"NO DISPONIBLE ("&amp;D44&amp;")",IF(D44&lt;&gt;"D","DISPONIBLE DOBLANDO",IF(F44="RESTRINGIDO (Viene de Noche)","RESTRINGIDO (Descanso 24h)",IF(G44=0,"PRIORITARIO LIBRE (0 ext)","ELEGIBLE LIBRE ("&amp;G44&amp;" ext)"))))</f>
        <v>DISPONIBLE DOBLANDO</v>
      </c>
    </row>
    <row r="45" customFormat="false" ht="15" hidden="false" customHeight="false" outlineLevel="0" collapsed="false">
      <c r="A45" s="5" t="n">
        <f aca="false">Policías!A40</f>
        <v>136</v>
      </c>
      <c r="B45" s="6" t="str">
        <f aca="false">Policías!B40</f>
        <v>Narciso </v>
      </c>
      <c r="C45" s="6" t="str">
        <f aca="false">Policías!C40</f>
        <v>Policía</v>
      </c>
      <c r="D45" s="5" t="str">
        <f aca="false">INDEX(Cuadrante!$D$5:$AH$63,MATCH(A45,Cuadrante!$A$5:$A$63,0),MATCH($B$5,Cuadrante!$D$4:$AH$4,0))</f>
        <v>D</v>
      </c>
      <c r="E45" s="5" t="str">
        <f aca="false">IFERROR(INDEX(Cuadrante!$D$5:$AH$63,MATCH(A45,Cuadrante!$A$5:$A$63,0),MATCH($B$5,Cuadrante!$D$4:$AH$4,0)-1),"N/A")</f>
        <v>D</v>
      </c>
      <c r="F45" s="5" t="str">
        <f aca="false">IF(E45="N","RESTRINGIDO (Viene de Noche)","APTO")</f>
        <v>APTO</v>
      </c>
      <c r="G45" s="5" t="n">
        <f aca="false">SUMIF(Historico_Extras!$C$5:$C$104,A45,Historico_Extras!$F$5:$F$104)</f>
        <v>0</v>
      </c>
      <c r="H45" s="5" t="str">
        <f aca="false">IF(OR(D45="VAC",D45="BAJA",D45="AP",D45="HS"),"NO DISPONIBLE ("&amp;D45&amp;")",IF(D45&lt;&gt;"D","DISPONIBLE DOBLANDO",IF(F45="RESTRINGIDO (Viene de Noche)","RESTRINGIDO (Descanso 24h)",IF(G45=0,"PRIORITARIO LIBRE (0 ext)","ELEGIBLE LIBRE ("&amp;G45&amp;" ext)"))))</f>
        <v>PRIORITARIO LIBRE (0 ext)</v>
      </c>
    </row>
    <row r="46" customFormat="false" ht="15" hidden="false" customHeight="false" outlineLevel="0" collapsed="false">
      <c r="A46" s="5" t="n">
        <f aca="false">Policías!A41</f>
        <v>137</v>
      </c>
      <c r="B46" s="6" t="str">
        <f aca="false">Policías!B41</f>
        <v>José Díaz </v>
      </c>
      <c r="C46" s="6" t="str">
        <f aca="false">Policías!C41</f>
        <v>Policía</v>
      </c>
      <c r="D46" s="5" t="str">
        <f aca="false">INDEX(Cuadrante!$D$5:$AH$63,MATCH(A46,Cuadrante!$A$5:$A$63,0),MATCH($B$5,Cuadrante!$D$4:$AH$4,0))</f>
        <v>D</v>
      </c>
      <c r="E46" s="5" t="str">
        <f aca="false">IFERROR(INDEX(Cuadrante!$D$5:$AH$63,MATCH(A46,Cuadrante!$A$5:$A$63,0),MATCH($B$5,Cuadrante!$D$4:$AH$4,0)-1),"N/A")</f>
        <v>N</v>
      </c>
      <c r="F46" s="5" t="str">
        <f aca="false">IF(E46="N","RESTRINGIDO (Viene de Noche)","APTO")</f>
        <v>RESTRINGIDO (Viene de Noche)</v>
      </c>
      <c r="G46" s="5" t="n">
        <f aca="false">SUMIF(Historico_Extras!$C$5:$C$104,A46,Historico_Extras!$F$5:$F$104)</f>
        <v>0</v>
      </c>
      <c r="H46" s="5" t="str">
        <f aca="false">IF(OR(D46="VAC",D46="BAJA",D46="AP",D46="HS"),"NO DISPONIBLE ("&amp;D46&amp;")",IF(D46&lt;&gt;"D","DISPONIBLE DOBLANDO",IF(F46="RESTRINGIDO (Viene de Noche)","RESTRINGIDO (Descanso 24h)",IF(G46=0,"PRIORITARIO LIBRE (0 ext)","ELEGIBLE LIBRE ("&amp;G46&amp;" ext)"))))</f>
        <v>RESTRINGIDO (Descanso 24h)</v>
      </c>
    </row>
    <row r="47" customFormat="false" ht="15" hidden="false" customHeight="false" outlineLevel="0" collapsed="false">
      <c r="A47" s="5" t="n">
        <f aca="false">Policías!A42</f>
        <v>138</v>
      </c>
      <c r="B47" s="6" t="str">
        <f aca="false">Policías!B42</f>
        <v>Fernando </v>
      </c>
      <c r="C47" s="6" t="str">
        <f aca="false">Policías!C42</f>
        <v>Policía</v>
      </c>
      <c r="D47" s="5" t="str">
        <f aca="false">INDEX(Cuadrante!$D$5:$AH$63,MATCH(A47,Cuadrante!$A$5:$A$63,0),MATCH($B$5,Cuadrante!$D$4:$AH$4,0))</f>
        <v>N</v>
      </c>
      <c r="E47" s="5" t="str">
        <f aca="false">IFERROR(INDEX(Cuadrante!$D$5:$AH$63,MATCH(A47,Cuadrante!$A$5:$A$63,0),MATCH($B$5,Cuadrante!$D$4:$AH$4,0)-1),"N/A")</f>
        <v>T</v>
      </c>
      <c r="F47" s="5" t="str">
        <f aca="false">IF(E47="N","RESTRINGIDO (Viene de Noche)","APTO")</f>
        <v>APTO</v>
      </c>
      <c r="G47" s="5" t="n">
        <f aca="false">SUMIF(Historico_Extras!$C$5:$C$104,A47,Historico_Extras!$F$5:$F$104)</f>
        <v>0</v>
      </c>
      <c r="H47" s="5" t="str">
        <f aca="false">IF(OR(D47="VAC",D47="BAJA",D47="AP",D47="HS"),"NO DISPONIBLE ("&amp;D47&amp;")",IF(D47&lt;&gt;"D","DISPONIBLE DOBLANDO",IF(F47="RESTRINGIDO (Viene de Noche)","RESTRINGIDO (Descanso 24h)",IF(G47=0,"PRIORITARIO LIBRE (0 ext)","ELEGIBLE LIBRE ("&amp;G47&amp;" ext)"))))</f>
        <v>DISPONIBLE DOBLANDO</v>
      </c>
    </row>
    <row r="48" customFormat="false" ht="15" hidden="false" customHeight="false" outlineLevel="0" collapsed="false">
      <c r="A48" s="5" t="n">
        <f aca="false">Policías!A43</f>
        <v>139</v>
      </c>
      <c r="B48" s="6" t="str">
        <f aca="false">Policías!B43</f>
        <v>Juan </v>
      </c>
      <c r="C48" s="6" t="str">
        <f aca="false">Policías!C43</f>
        <v>Policía</v>
      </c>
      <c r="D48" s="5" t="str">
        <f aca="false">INDEX(Cuadrante!$D$5:$AH$63,MATCH(A48,Cuadrante!$A$5:$A$63,0),MATCH($B$5,Cuadrante!$D$4:$AH$4,0))</f>
        <v>D</v>
      </c>
      <c r="E48" s="5" t="str">
        <f aca="false">IFERROR(INDEX(Cuadrante!$D$5:$AH$63,MATCH(A48,Cuadrante!$A$5:$A$63,0),MATCH($B$5,Cuadrante!$D$4:$AH$4,0)-1),"N/A")</f>
        <v>D</v>
      </c>
      <c r="F48" s="5" t="str">
        <f aca="false">IF(E48="N","RESTRINGIDO (Viene de Noche)","APTO")</f>
        <v>APTO</v>
      </c>
      <c r="G48" s="5" t="n">
        <f aca="false">SUMIF(Historico_Extras!$C$5:$C$104,A48,Historico_Extras!$F$5:$F$104)</f>
        <v>0</v>
      </c>
      <c r="H48" s="5" t="str">
        <f aca="false">IF(OR(D48="VAC",D48="BAJA",D48="AP",D48="HS"),"NO DISPONIBLE ("&amp;D48&amp;")",IF(D48&lt;&gt;"D","DISPONIBLE DOBLANDO",IF(F48="RESTRINGIDO (Viene de Noche)","RESTRINGIDO (Descanso 24h)",IF(G48=0,"PRIORITARIO LIBRE (0 ext)","ELEGIBLE LIBRE ("&amp;G48&amp;" ext)"))))</f>
        <v>PRIORITARIO LIBRE (0 ext)</v>
      </c>
    </row>
    <row r="49" customFormat="false" ht="15" hidden="false" customHeight="false" outlineLevel="0" collapsed="false">
      <c r="A49" s="5" t="n">
        <f aca="false">Policías!A44</f>
        <v>140</v>
      </c>
      <c r="B49" s="6" t="str">
        <f aca="false">Policías!B44</f>
        <v>Gonzalez </v>
      </c>
      <c r="C49" s="6" t="str">
        <f aca="false">Policías!C44</f>
        <v>Policía</v>
      </c>
      <c r="D49" s="5" t="str">
        <f aca="false">INDEX(Cuadrante!$D$5:$AH$63,MATCH(A49,Cuadrante!$A$5:$A$63,0),MATCH($B$5,Cuadrante!$D$4:$AH$4,0))</f>
        <v>D</v>
      </c>
      <c r="E49" s="5" t="str">
        <f aca="false">IFERROR(INDEX(Cuadrante!$D$5:$AH$63,MATCH(A49,Cuadrante!$A$5:$A$63,0),MATCH($B$5,Cuadrante!$D$4:$AH$4,0)-1),"N/A")</f>
        <v>D</v>
      </c>
      <c r="F49" s="5" t="str">
        <f aca="false">IF(E49="N","RESTRINGIDO (Viene de Noche)","APTO")</f>
        <v>APTO</v>
      </c>
      <c r="G49" s="5" t="n">
        <f aca="false">SUMIF(Historico_Extras!$C$5:$C$104,A49,Historico_Extras!$F$5:$F$104)</f>
        <v>0</v>
      </c>
      <c r="H49" s="5" t="str">
        <f aca="false">IF(OR(D49="VAC",D49="BAJA",D49="AP",D49="HS"),"NO DISPONIBLE ("&amp;D49&amp;")",IF(D49&lt;&gt;"D","DISPONIBLE DOBLANDO",IF(F49="RESTRINGIDO (Viene de Noche)","RESTRINGIDO (Descanso 24h)",IF(G49=0,"PRIORITARIO LIBRE (0 ext)","ELEGIBLE LIBRE ("&amp;G49&amp;" ext)"))))</f>
        <v>PRIORITARIO LIBRE (0 ext)</v>
      </c>
    </row>
    <row r="50" customFormat="false" ht="15" hidden="false" customHeight="false" outlineLevel="0" collapsed="false">
      <c r="A50" s="5" t="n">
        <f aca="false">Policías!A45</f>
        <v>141</v>
      </c>
      <c r="B50" s="6" t="str">
        <f aca="false">Policías!B45</f>
        <v>Diego José</v>
      </c>
      <c r="C50" s="6" t="str">
        <f aca="false">Policías!C45</f>
        <v>Policía</v>
      </c>
      <c r="D50" s="5" t="str">
        <f aca="false">INDEX(Cuadrante!$D$5:$AH$63,MATCH(A50,Cuadrante!$A$5:$A$63,0),MATCH($B$5,Cuadrante!$D$4:$AH$4,0))</f>
        <v>D</v>
      </c>
      <c r="E50" s="5" t="str">
        <f aca="false">IFERROR(INDEX(Cuadrante!$D$5:$AH$63,MATCH(A50,Cuadrante!$A$5:$A$63,0),MATCH($B$5,Cuadrante!$D$4:$AH$4,0)-1),"N/A")</f>
        <v>D</v>
      </c>
      <c r="F50" s="5" t="str">
        <f aca="false">IF(E50="N","RESTRINGIDO (Viene de Noche)","APTO")</f>
        <v>APTO</v>
      </c>
      <c r="G50" s="5" t="n">
        <f aca="false">SUMIF(Historico_Extras!$C$5:$C$104,A50,Historico_Extras!$F$5:$F$104)</f>
        <v>0</v>
      </c>
      <c r="H50" s="5" t="str">
        <f aca="false">IF(OR(D50="VAC",D50="BAJA",D50="AP",D50="HS"),"NO DISPONIBLE ("&amp;D50&amp;")",IF(D50&lt;&gt;"D","DISPONIBLE DOBLANDO",IF(F50="RESTRINGIDO (Viene de Noche)","RESTRINGIDO (Descanso 24h)",IF(G50=0,"PRIORITARIO LIBRE (0 ext)","ELEGIBLE LIBRE ("&amp;G50&amp;" ext)"))))</f>
        <v>PRIORITARIO LIBRE (0 ext)</v>
      </c>
    </row>
    <row r="51" customFormat="false" ht="15" hidden="false" customHeight="false" outlineLevel="0" collapsed="false">
      <c r="A51" s="5" t="n">
        <f aca="false">Policías!A46</f>
        <v>142</v>
      </c>
      <c r="B51" s="6" t="str">
        <f aca="false">Policías!B46</f>
        <v>Morales</v>
      </c>
      <c r="C51" s="6" t="str">
        <f aca="false">Policías!C46</f>
        <v>Policía</v>
      </c>
      <c r="D51" s="5" t="str">
        <f aca="false">INDEX(Cuadrante!$D$5:$AH$63,MATCH(A51,Cuadrante!$A$5:$A$63,0),MATCH($B$5,Cuadrante!$D$4:$AH$4,0))</f>
        <v>D</v>
      </c>
      <c r="E51" s="5" t="str">
        <f aca="false">IFERROR(INDEX(Cuadrante!$D$5:$AH$63,MATCH(A51,Cuadrante!$A$5:$A$63,0),MATCH($B$5,Cuadrante!$D$4:$AH$4,0)-1),"N/A")</f>
        <v>N</v>
      </c>
      <c r="F51" s="5" t="str">
        <f aca="false">IF(E51="N","RESTRINGIDO (Viene de Noche)","APTO")</f>
        <v>RESTRINGIDO (Viene de Noche)</v>
      </c>
      <c r="G51" s="5" t="n">
        <f aca="false">SUMIF(Historico_Extras!$C$5:$C$104,A51,Historico_Extras!$F$5:$F$104)</f>
        <v>0</v>
      </c>
      <c r="H51" s="5" t="str">
        <f aca="false">IF(OR(D51="VAC",D51="BAJA",D51="AP",D51="HS"),"NO DISPONIBLE ("&amp;D51&amp;")",IF(D51&lt;&gt;"D","DISPONIBLE DOBLANDO",IF(F51="RESTRINGIDO (Viene de Noche)","RESTRINGIDO (Descanso 24h)",IF(G51=0,"PRIORITARIO LIBRE (0 ext)","ELEGIBLE LIBRE ("&amp;G51&amp;" ext)"))))</f>
        <v>RESTRINGIDO (Descanso 24h)</v>
      </c>
    </row>
    <row r="52" customFormat="false" ht="15" hidden="false" customHeight="false" outlineLevel="0" collapsed="false">
      <c r="A52" s="5" t="n">
        <f aca="false">Policías!A47</f>
        <v>143</v>
      </c>
      <c r="B52" s="6" t="str">
        <f aca="false">Policías!B47</f>
        <v>Rafael</v>
      </c>
      <c r="C52" s="6" t="str">
        <f aca="false">Policías!C47</f>
        <v>Policía</v>
      </c>
      <c r="D52" s="5" t="str">
        <f aca="false">INDEX(Cuadrante!$D$5:$AH$63,MATCH(A52,Cuadrante!$A$5:$A$63,0),MATCH($B$5,Cuadrante!$D$4:$AH$4,0))</f>
        <v>D</v>
      </c>
      <c r="E52" s="5" t="str">
        <f aca="false">IFERROR(INDEX(Cuadrante!$D$5:$AH$63,MATCH(A52,Cuadrante!$A$5:$A$63,0),MATCH($B$5,Cuadrante!$D$4:$AH$4,0)-1),"N/A")</f>
        <v>D</v>
      </c>
      <c r="F52" s="5" t="str">
        <f aca="false">IF(E52="N","RESTRINGIDO (Viene de Noche)","APTO")</f>
        <v>APTO</v>
      </c>
      <c r="G52" s="5" t="n">
        <f aca="false">SUMIF(Historico_Extras!$C$5:$C$104,A52,Historico_Extras!$F$5:$F$104)</f>
        <v>0</v>
      </c>
      <c r="H52" s="5" t="str">
        <f aca="false">IF(OR(D52="VAC",D52="BAJA",D52="AP",D52="HS"),"NO DISPONIBLE ("&amp;D52&amp;")",IF(D52&lt;&gt;"D","DISPONIBLE DOBLANDO",IF(F52="RESTRINGIDO (Viene de Noche)","RESTRINGIDO (Descanso 24h)",IF(G52=0,"PRIORITARIO LIBRE (0 ext)","ELEGIBLE LIBRE ("&amp;G52&amp;" ext)"))))</f>
        <v>PRIORITARIO LIBRE (0 ext)</v>
      </c>
    </row>
    <row r="53" customFormat="false" ht="15" hidden="false" customHeight="false" outlineLevel="0" collapsed="false">
      <c r="A53" s="5" t="n">
        <f aca="false">Policías!A48</f>
        <v>144</v>
      </c>
      <c r="B53" s="6" t="str">
        <f aca="false">Policías!B48</f>
        <v>Moisés </v>
      </c>
      <c r="C53" s="6" t="str">
        <f aca="false">Policías!C48</f>
        <v>Policía</v>
      </c>
      <c r="D53" s="5" t="str">
        <f aca="false">INDEX(Cuadrante!$D$5:$AH$63,MATCH(A53,Cuadrante!$A$5:$A$63,0),MATCH($B$5,Cuadrante!$D$4:$AH$4,0))</f>
        <v>D</v>
      </c>
      <c r="E53" s="5" t="str">
        <f aca="false">IFERROR(INDEX(Cuadrante!$D$5:$AH$63,MATCH(A53,Cuadrante!$A$5:$A$63,0),MATCH($B$5,Cuadrante!$D$4:$AH$4,0)-1),"N/A")</f>
        <v>D</v>
      </c>
      <c r="F53" s="5" t="str">
        <f aca="false">IF(E53="N","RESTRINGIDO (Viene de Noche)","APTO")</f>
        <v>APTO</v>
      </c>
      <c r="G53" s="5" t="n">
        <f aca="false">SUMIF(Historico_Extras!$C$5:$C$104,A53,Historico_Extras!$F$5:$F$104)</f>
        <v>0</v>
      </c>
      <c r="H53" s="5" t="str">
        <f aca="false">IF(OR(D53="VAC",D53="BAJA",D53="AP",D53="HS"),"NO DISPONIBLE ("&amp;D53&amp;")",IF(D53&lt;&gt;"D","DISPONIBLE DOBLANDO",IF(F53="RESTRINGIDO (Viene de Noche)","RESTRINGIDO (Descanso 24h)",IF(G53=0,"PRIORITARIO LIBRE (0 ext)","ELEGIBLE LIBRE ("&amp;G53&amp;" ext)"))))</f>
        <v>PRIORITARIO LIBRE (0 ext)</v>
      </c>
    </row>
    <row r="54" customFormat="false" ht="15" hidden="false" customHeight="false" outlineLevel="0" collapsed="false">
      <c r="A54" s="5" t="n">
        <f aca="false">Policías!A49</f>
        <v>145</v>
      </c>
      <c r="B54" s="6" t="str">
        <f aca="false">Policías!B49</f>
        <v>Delgado</v>
      </c>
      <c r="C54" s="6" t="str">
        <f aca="false">Policías!C49</f>
        <v>Policía</v>
      </c>
      <c r="D54" s="5" t="str">
        <f aca="false">INDEX(Cuadrante!$D$5:$AH$63,MATCH(A54,Cuadrante!$A$5:$A$63,0),MATCH($B$5,Cuadrante!$D$4:$AH$4,0))</f>
        <v>D</v>
      </c>
      <c r="E54" s="5" t="str">
        <f aca="false">IFERROR(INDEX(Cuadrante!$D$5:$AH$63,MATCH(A54,Cuadrante!$A$5:$A$63,0),MATCH($B$5,Cuadrante!$D$4:$AH$4,0)-1),"N/A")</f>
        <v>D</v>
      </c>
      <c r="F54" s="5" t="str">
        <f aca="false">IF(E54="N","RESTRINGIDO (Viene de Noche)","APTO")</f>
        <v>APTO</v>
      </c>
      <c r="G54" s="5" t="n">
        <f aca="false">SUMIF(Historico_Extras!$C$5:$C$104,A54,Historico_Extras!$F$5:$F$104)</f>
        <v>0</v>
      </c>
      <c r="H54" s="5" t="str">
        <f aca="false">IF(OR(D54="VAC",D54="BAJA",D54="AP",D54="HS"),"NO DISPONIBLE ("&amp;D54&amp;")",IF(D54&lt;&gt;"D","DISPONIBLE DOBLANDO",IF(F54="RESTRINGIDO (Viene de Noche)","RESTRINGIDO (Descanso 24h)",IF(G54=0,"PRIORITARIO LIBRE (0 ext)","ELEGIBLE LIBRE ("&amp;G54&amp;" ext)"))))</f>
        <v>PRIORITARIO LIBRE (0 ext)</v>
      </c>
    </row>
    <row r="55" customFormat="false" ht="15" hidden="false" customHeight="false" outlineLevel="0" collapsed="false">
      <c r="A55" s="5" t="n">
        <f aca="false">Policías!A50</f>
        <v>146</v>
      </c>
      <c r="B55" s="6" t="str">
        <f aca="false">Policías!B50</f>
        <v>Juan Pedro</v>
      </c>
      <c r="C55" s="6" t="str">
        <f aca="false">Policías!C50</f>
        <v>Policía</v>
      </c>
      <c r="D55" s="5" t="str">
        <f aca="false">INDEX(Cuadrante!$D$5:$AH$63,MATCH(A55,Cuadrante!$A$5:$A$63,0),MATCH($B$5,Cuadrante!$D$4:$AH$4,0))</f>
        <v>D</v>
      </c>
      <c r="E55" s="5" t="str">
        <f aca="false">IFERROR(INDEX(Cuadrante!$D$5:$AH$63,MATCH(A55,Cuadrante!$A$5:$A$63,0),MATCH($B$5,Cuadrante!$D$4:$AH$4,0)-1),"N/A")</f>
        <v>D</v>
      </c>
      <c r="F55" s="5" t="str">
        <f aca="false">IF(E55="N","RESTRINGIDO (Viene de Noche)","APTO")</f>
        <v>APTO</v>
      </c>
      <c r="G55" s="5" t="n">
        <f aca="false">SUMIF(Historico_Extras!$C$5:$C$104,A55,Historico_Extras!$F$5:$F$104)</f>
        <v>0</v>
      </c>
      <c r="H55" s="5" t="str">
        <f aca="false">IF(OR(D55="VAC",D55="BAJA",D55="AP",D55="HS"),"NO DISPONIBLE ("&amp;D55&amp;")",IF(D55&lt;&gt;"D","DISPONIBLE DOBLANDO",IF(F55="RESTRINGIDO (Viene de Noche)","RESTRINGIDO (Descanso 24h)",IF(G55=0,"PRIORITARIO LIBRE (0 ext)","ELEGIBLE LIBRE ("&amp;G55&amp;" ext)"))))</f>
        <v>PRIORITARIO LIBRE (0 ext)</v>
      </c>
    </row>
    <row r="56" customFormat="false" ht="15" hidden="false" customHeight="false" outlineLevel="0" collapsed="false">
      <c r="A56" s="5" t="n">
        <f aca="false">Policías!A51</f>
        <v>147</v>
      </c>
      <c r="B56" s="6" t="str">
        <f aca="false">Policías!B51</f>
        <v>Jose Manuel</v>
      </c>
      <c r="C56" s="6" t="str">
        <f aca="false">Policías!C51</f>
        <v>Policía</v>
      </c>
      <c r="D56" s="5" t="str">
        <f aca="false">INDEX(Cuadrante!$D$5:$AH$63,MATCH(A56,Cuadrante!$A$5:$A$63,0),MATCH($B$5,Cuadrante!$D$4:$AH$4,0))</f>
        <v>D</v>
      </c>
      <c r="E56" s="5" t="str">
        <f aca="false">IFERROR(INDEX(Cuadrante!$D$5:$AH$63,MATCH(A56,Cuadrante!$A$5:$A$63,0),MATCH($B$5,Cuadrante!$D$4:$AH$4,0)-1),"N/A")</f>
        <v>D</v>
      </c>
      <c r="F56" s="5" t="str">
        <f aca="false">IF(E56="N","RESTRINGIDO (Viene de Noche)","APTO")</f>
        <v>APTO</v>
      </c>
      <c r="G56" s="5" t="n">
        <f aca="false">SUMIF(Historico_Extras!$C$5:$C$104,A56,Historico_Extras!$F$5:$F$104)</f>
        <v>0</v>
      </c>
      <c r="H56" s="5" t="str">
        <f aca="false">IF(OR(D56="VAC",D56="BAJA",D56="AP",D56="HS"),"NO DISPONIBLE ("&amp;D56&amp;")",IF(D56&lt;&gt;"D","DISPONIBLE DOBLANDO",IF(F56="RESTRINGIDO (Viene de Noche)","RESTRINGIDO (Descanso 24h)",IF(G56=0,"PRIORITARIO LIBRE (0 ext)","ELEGIBLE LIBRE ("&amp;G56&amp;" ext)"))))</f>
        <v>PRIORITARIO LIBRE (0 ext)</v>
      </c>
    </row>
    <row r="57" customFormat="false" ht="15" hidden="false" customHeight="false" outlineLevel="0" collapsed="false">
      <c r="A57" s="5" t="n">
        <f aca="false">Policías!A52</f>
        <v>148</v>
      </c>
      <c r="B57" s="6" t="str">
        <f aca="false">Policías!B52</f>
        <v>Rocío </v>
      </c>
      <c r="C57" s="6" t="str">
        <f aca="false">Policías!C52</f>
        <v>Policía</v>
      </c>
      <c r="D57" s="5" t="str">
        <f aca="false">INDEX(Cuadrante!$D$5:$AH$63,MATCH(A57,Cuadrante!$A$5:$A$63,0),MATCH($B$5,Cuadrante!$D$4:$AH$4,0))</f>
        <v>T</v>
      </c>
      <c r="E57" s="5" t="str">
        <f aca="false">IFERROR(INDEX(Cuadrante!$D$5:$AH$63,MATCH(A57,Cuadrante!$A$5:$A$63,0),MATCH($B$5,Cuadrante!$D$4:$AH$4,0)-1),"N/A")</f>
        <v>M</v>
      </c>
      <c r="F57" s="5" t="str">
        <f aca="false">IF(E57="N","RESTRINGIDO (Viene de Noche)","APTO")</f>
        <v>APTO</v>
      </c>
      <c r="G57" s="5" t="n">
        <f aca="false">SUMIF(Historico_Extras!$C$5:$C$104,A57,Historico_Extras!$F$5:$F$104)</f>
        <v>0</v>
      </c>
      <c r="H57" s="5" t="str">
        <f aca="false">IF(OR(D57="VAC",D57="BAJA",D57="AP",D57="HS"),"NO DISPONIBLE ("&amp;D57&amp;")",IF(D57&lt;&gt;"D","DISPONIBLE DOBLANDO",IF(F57="RESTRINGIDO (Viene de Noche)","RESTRINGIDO (Descanso 24h)",IF(G57=0,"PRIORITARIO LIBRE (0 ext)","ELEGIBLE LIBRE ("&amp;G57&amp;" ext)"))))</f>
        <v>DISPONIBLE DOBLANDO</v>
      </c>
    </row>
    <row r="58" customFormat="false" ht="15" hidden="false" customHeight="false" outlineLevel="0" collapsed="false">
      <c r="A58" s="5" t="n">
        <f aca="false">Policías!A53</f>
        <v>149</v>
      </c>
      <c r="B58" s="6" t="str">
        <f aca="false">Policías!B53</f>
        <v>Pablo </v>
      </c>
      <c r="C58" s="6" t="str">
        <f aca="false">Policías!C53</f>
        <v>Policía</v>
      </c>
      <c r="D58" s="5" t="str">
        <f aca="false">INDEX(Cuadrante!$D$5:$AH$63,MATCH(A58,Cuadrante!$A$5:$A$63,0),MATCH($B$5,Cuadrante!$D$4:$AH$4,0))</f>
        <v>D</v>
      </c>
      <c r="E58" s="5" t="str">
        <f aca="false">IFERROR(INDEX(Cuadrante!$D$5:$AH$63,MATCH(A58,Cuadrante!$A$5:$A$63,0),MATCH($B$5,Cuadrante!$D$4:$AH$4,0)-1),"N/A")</f>
        <v>N</v>
      </c>
      <c r="F58" s="5" t="str">
        <f aca="false">IF(E58="N","RESTRINGIDO (Viene de Noche)","APTO")</f>
        <v>RESTRINGIDO (Viene de Noche)</v>
      </c>
      <c r="G58" s="5" t="n">
        <f aca="false">SUMIF(Historico_Extras!$C$5:$C$104,A58,Historico_Extras!$F$5:$F$104)</f>
        <v>0</v>
      </c>
      <c r="H58" s="5" t="str">
        <f aca="false">IF(OR(D58="VAC",D58="BAJA",D58="AP",D58="HS"),"NO DISPONIBLE ("&amp;D58&amp;")",IF(D58&lt;&gt;"D","DISPONIBLE DOBLANDO",IF(F58="RESTRINGIDO (Viene de Noche)","RESTRINGIDO (Descanso 24h)",IF(G58=0,"PRIORITARIO LIBRE (0 ext)","ELEGIBLE LIBRE ("&amp;G58&amp;" ext)"))))</f>
        <v>RESTRINGIDO (Descanso 24h)</v>
      </c>
    </row>
    <row r="59" customFormat="false" ht="15" hidden="false" customHeight="false" outlineLevel="0" collapsed="false">
      <c r="A59" s="5" t="n">
        <f aca="false">Policías!A54</f>
        <v>150</v>
      </c>
      <c r="B59" s="6" t="str">
        <f aca="false">Policías!B54</f>
        <v>Eduardo</v>
      </c>
      <c r="C59" s="6" t="str">
        <f aca="false">Policías!C54</f>
        <v>Policía</v>
      </c>
      <c r="D59" s="5" t="str">
        <f aca="false">INDEX(Cuadrante!$D$5:$AH$63,MATCH(A59,Cuadrante!$A$5:$A$63,0),MATCH($B$5,Cuadrante!$D$4:$AH$4,0))</f>
        <v>T</v>
      </c>
      <c r="E59" s="5" t="str">
        <f aca="false">IFERROR(INDEX(Cuadrante!$D$5:$AH$63,MATCH(A59,Cuadrante!$A$5:$A$63,0),MATCH($B$5,Cuadrante!$D$4:$AH$4,0)-1),"N/A")</f>
        <v>M</v>
      </c>
      <c r="F59" s="5" t="str">
        <f aca="false">IF(E59="N","RESTRINGIDO (Viene de Noche)","APTO")</f>
        <v>APTO</v>
      </c>
      <c r="G59" s="5" t="n">
        <f aca="false">SUMIF(Historico_Extras!$C$5:$C$104,A59,Historico_Extras!$F$5:$F$104)</f>
        <v>0</v>
      </c>
      <c r="H59" s="5" t="str">
        <f aca="false">IF(OR(D59="VAC",D59="BAJA",D59="AP",D59="HS"),"NO DISPONIBLE ("&amp;D59&amp;")",IF(D59&lt;&gt;"D","DISPONIBLE DOBLANDO",IF(F59="RESTRINGIDO (Viene de Noche)","RESTRINGIDO (Descanso 24h)",IF(G59=0,"PRIORITARIO LIBRE (0 ext)","ELEGIBLE LIBRE ("&amp;G59&amp;" ext)"))))</f>
        <v>DISPONIBLE DOBLANDO</v>
      </c>
    </row>
    <row r="60" customFormat="false" ht="15" hidden="false" customHeight="false" outlineLevel="0" collapsed="false">
      <c r="A60" s="5" t="n">
        <f aca="false">Policías!A55</f>
        <v>151</v>
      </c>
      <c r="B60" s="6" t="str">
        <f aca="false">Policías!B55</f>
        <v> Flores</v>
      </c>
      <c r="C60" s="6" t="str">
        <f aca="false">Policías!C55</f>
        <v>Policía</v>
      </c>
      <c r="D60" s="5" t="str">
        <f aca="false">INDEX(Cuadrante!$D$5:$AH$63,MATCH(A60,Cuadrante!$A$5:$A$63,0),MATCH($B$5,Cuadrante!$D$4:$AH$4,0))</f>
        <v>T</v>
      </c>
      <c r="E60" s="5" t="str">
        <f aca="false">IFERROR(INDEX(Cuadrante!$D$5:$AH$63,MATCH(A60,Cuadrante!$A$5:$A$63,0),MATCH($B$5,Cuadrante!$D$4:$AH$4,0)-1),"N/A")</f>
        <v>M</v>
      </c>
      <c r="F60" s="5" t="str">
        <f aca="false">IF(E60="N","RESTRINGIDO (Viene de Noche)","APTO")</f>
        <v>APTO</v>
      </c>
      <c r="G60" s="5" t="n">
        <f aca="false">SUMIF(Historico_Extras!$C$5:$C$104,A60,Historico_Extras!$F$5:$F$104)</f>
        <v>0</v>
      </c>
      <c r="H60" s="5" t="str">
        <f aca="false">IF(OR(D60="VAC",D60="BAJA",D60="AP",D60="HS"),"NO DISPONIBLE ("&amp;D60&amp;")",IF(D60&lt;&gt;"D","DISPONIBLE DOBLANDO",IF(F60="RESTRINGIDO (Viene de Noche)","RESTRINGIDO (Descanso 24h)",IF(G60=0,"PRIORITARIO LIBRE (0 ext)","ELEGIBLE LIBRE ("&amp;G60&amp;" ext)"))))</f>
        <v>DISPONIBLE DOBLANDO</v>
      </c>
    </row>
    <row r="61" customFormat="false" ht="15" hidden="false" customHeight="false" outlineLevel="0" collapsed="false">
      <c r="A61" s="5" t="n">
        <f aca="false">Policías!A56</f>
        <v>152</v>
      </c>
      <c r="B61" s="6" t="str">
        <f aca="false">Policías!B56</f>
        <v>Borja </v>
      </c>
      <c r="C61" s="6" t="str">
        <f aca="false">Policías!C56</f>
        <v>Policía</v>
      </c>
      <c r="D61" s="5" t="str">
        <f aca="false">INDEX(Cuadrante!$D$5:$AH$63,MATCH(A61,Cuadrante!$A$5:$A$63,0),MATCH($B$5,Cuadrante!$D$4:$AH$4,0))</f>
        <v>D</v>
      </c>
      <c r="E61" s="5" t="str">
        <f aca="false">IFERROR(INDEX(Cuadrante!$D$5:$AH$63,MATCH(A61,Cuadrante!$A$5:$A$63,0),MATCH($B$5,Cuadrante!$D$4:$AH$4,0)-1),"N/A")</f>
        <v>D</v>
      </c>
      <c r="F61" s="5" t="str">
        <f aca="false">IF(E61="N","RESTRINGIDO (Viene de Noche)","APTO")</f>
        <v>APTO</v>
      </c>
      <c r="G61" s="5" t="n">
        <f aca="false">SUMIF(Historico_Extras!$C$5:$C$104,A61,Historico_Extras!$F$5:$F$104)</f>
        <v>0</v>
      </c>
      <c r="H61" s="5" t="str">
        <f aca="false">IF(OR(D61="VAC",D61="BAJA",D61="AP",D61="HS"),"NO DISPONIBLE ("&amp;D61&amp;")",IF(D61&lt;&gt;"D","DISPONIBLE DOBLANDO",IF(F61="RESTRINGIDO (Viene de Noche)","RESTRINGIDO (Descanso 24h)",IF(G61=0,"PRIORITARIO LIBRE (0 ext)","ELEGIBLE LIBRE ("&amp;G61&amp;" ext)"))))</f>
        <v>PRIORITARIO LIBRE (0 ext)</v>
      </c>
    </row>
    <row r="62" customFormat="false" ht="15" hidden="false" customHeight="false" outlineLevel="0" collapsed="false">
      <c r="A62" s="5" t="n">
        <f aca="false">Policías!A57</f>
        <v>153</v>
      </c>
      <c r="B62" s="6" t="str">
        <f aca="false">Policías!B57</f>
        <v>Rocío Romero</v>
      </c>
      <c r="C62" s="6" t="str">
        <f aca="false">Policías!C57</f>
        <v>Policía</v>
      </c>
      <c r="D62" s="5" t="str">
        <f aca="false">INDEX(Cuadrante!$D$5:$AH$63,MATCH(A62,Cuadrante!$A$5:$A$63,0),MATCH($B$5,Cuadrante!$D$4:$AH$4,0))</f>
        <v>D</v>
      </c>
      <c r="E62" s="5" t="str">
        <f aca="false">IFERROR(INDEX(Cuadrante!$D$5:$AH$63,MATCH(A62,Cuadrante!$A$5:$A$63,0),MATCH($B$5,Cuadrante!$D$4:$AH$4,0)-1),"N/A")</f>
        <v>D</v>
      </c>
      <c r="F62" s="5" t="str">
        <f aca="false">IF(E62="N","RESTRINGIDO (Viene de Noche)","APTO")</f>
        <v>APTO</v>
      </c>
      <c r="G62" s="5" t="n">
        <f aca="false">SUMIF(Historico_Extras!$C$5:$C$104,A62,Historico_Extras!$F$5:$F$104)</f>
        <v>0</v>
      </c>
      <c r="H62" s="5" t="str">
        <f aca="false">IF(OR(D62="VAC",D62="BAJA",D62="AP",D62="HS"),"NO DISPONIBLE ("&amp;D62&amp;")",IF(D62&lt;&gt;"D","DISPONIBLE DOBLANDO",IF(F62="RESTRINGIDO (Viene de Noche)","RESTRINGIDO (Descanso 24h)",IF(G62=0,"PRIORITARIO LIBRE (0 ext)","ELEGIBLE LIBRE ("&amp;G62&amp;" ext)"))))</f>
        <v>PRIORITARIO LIBRE (0 ext)</v>
      </c>
    </row>
    <row r="63" customFormat="false" ht="15" hidden="false" customHeight="false" outlineLevel="0" collapsed="false">
      <c r="A63" s="5" t="n">
        <f aca="false">Policías!A58</f>
        <v>154</v>
      </c>
      <c r="B63" s="6" t="str">
        <f aca="false">Policías!B58</f>
        <v>Romero Cejudo</v>
      </c>
      <c r="C63" s="6" t="str">
        <f aca="false">Policías!C58</f>
        <v>Policía</v>
      </c>
      <c r="D63" s="5" t="str">
        <f aca="false">INDEX(Cuadrante!$D$5:$AH$63,MATCH(A63,Cuadrante!$A$5:$A$63,0),MATCH($B$5,Cuadrante!$D$4:$AH$4,0))</f>
        <v>D</v>
      </c>
      <c r="E63" s="5" t="str">
        <f aca="false">IFERROR(INDEX(Cuadrante!$D$5:$AH$63,MATCH(A63,Cuadrante!$A$5:$A$63,0),MATCH($B$5,Cuadrante!$D$4:$AH$4,0)-1),"N/A")</f>
        <v>D</v>
      </c>
      <c r="F63" s="5" t="str">
        <f aca="false">IF(E63="N","RESTRINGIDO (Viene de Noche)","APTO")</f>
        <v>APTO</v>
      </c>
      <c r="G63" s="5" t="n">
        <f aca="false">SUMIF(Historico_Extras!$C$5:$C$104,A63,Historico_Extras!$F$5:$F$104)</f>
        <v>0</v>
      </c>
      <c r="H63" s="5" t="str">
        <f aca="false">IF(OR(D63="VAC",D63="BAJA",D63="AP",D63="HS"),"NO DISPONIBLE ("&amp;D63&amp;")",IF(D63&lt;&gt;"D","DISPONIBLE DOBLANDO",IF(F63="RESTRINGIDO (Viene de Noche)","RESTRINGIDO (Descanso 24h)",IF(G63=0,"PRIORITARIO LIBRE (0 ext)","ELEGIBLE LIBRE ("&amp;G63&amp;" ext)"))))</f>
        <v>PRIORITARIO LIBRE (0 ext)</v>
      </c>
    </row>
    <row r="64" customFormat="false" ht="15" hidden="false" customHeight="false" outlineLevel="0" collapsed="false">
      <c r="A64" s="5" t="n">
        <f aca="false">Policías!A59</f>
        <v>155</v>
      </c>
      <c r="B64" s="6" t="str">
        <f aca="false">Policías!B59</f>
        <v>Vázquez Dominguez</v>
      </c>
      <c r="C64" s="6" t="str">
        <f aca="false">Policías!C59</f>
        <v>Policía</v>
      </c>
      <c r="D64" s="5" t="str">
        <f aca="false">INDEX(Cuadrante!$D$5:$AH$63,MATCH(A64,Cuadrante!$A$5:$A$63,0),MATCH($B$5,Cuadrante!$D$4:$AH$4,0))</f>
        <v>N</v>
      </c>
      <c r="E64" s="5" t="str">
        <f aca="false">IFERROR(INDEX(Cuadrante!$D$5:$AH$63,MATCH(A64,Cuadrante!$A$5:$A$63,0),MATCH($B$5,Cuadrante!$D$4:$AH$4,0)-1),"N/A")</f>
        <v>T</v>
      </c>
      <c r="F64" s="5" t="str">
        <f aca="false">IF(E64="N","RESTRINGIDO (Viene de Noche)","APTO")</f>
        <v>APTO</v>
      </c>
      <c r="G64" s="5" t="n">
        <f aca="false">SUMIF(Historico_Extras!$C$5:$C$104,A64,Historico_Extras!$F$5:$F$104)</f>
        <v>0</v>
      </c>
      <c r="H64" s="5" t="str">
        <f aca="false">IF(OR(D64="VAC",D64="BAJA",D64="AP",D64="HS"),"NO DISPONIBLE ("&amp;D64&amp;")",IF(D64&lt;&gt;"D","DISPONIBLE DOBLANDO",IF(F64="RESTRINGIDO (Viene de Noche)","RESTRINGIDO (Descanso 24h)",IF(G64=0,"PRIORITARIO LIBRE (0 ext)","ELEGIBLE LIBRE ("&amp;G64&amp;" ext)"))))</f>
        <v>DISPONIBLE DOBLANDO</v>
      </c>
    </row>
    <row r="65" customFormat="false" ht="15" hidden="false" customHeight="false" outlineLevel="0" collapsed="false">
      <c r="A65" s="5" t="n">
        <f aca="false">Policías!A60</f>
        <v>156</v>
      </c>
      <c r="B65" s="6" t="str">
        <f aca="false">Policías!B60</f>
        <v>Jorge España </v>
      </c>
      <c r="C65" s="6" t="str">
        <f aca="false">Policías!C60</f>
        <v>Policía</v>
      </c>
      <c r="D65" s="5" t="str">
        <f aca="false">INDEX(Cuadrante!$D$5:$AH$63,MATCH(A65,Cuadrante!$A$5:$A$63,0),MATCH($B$5,Cuadrante!$D$4:$AH$4,0))</f>
        <v>D</v>
      </c>
      <c r="E65" s="5" t="str">
        <f aca="false">IFERROR(INDEX(Cuadrante!$D$5:$AH$63,MATCH(A65,Cuadrante!$A$5:$A$63,0),MATCH($B$5,Cuadrante!$D$4:$AH$4,0)-1),"N/A")</f>
        <v>N</v>
      </c>
      <c r="F65" s="5" t="str">
        <f aca="false">IF(E65="N","RESTRINGIDO (Viene de Noche)","APTO")</f>
        <v>RESTRINGIDO (Viene de Noche)</v>
      </c>
      <c r="G65" s="5" t="n">
        <f aca="false">SUMIF(Historico_Extras!$C$5:$C$104,A65,Historico_Extras!$F$5:$F$104)</f>
        <v>0</v>
      </c>
      <c r="H65" s="5" t="str">
        <f aca="false">IF(OR(D65="VAC",D65="BAJA",D65="AP",D65="HS"),"NO DISPONIBLE ("&amp;D65&amp;")",IF(D65&lt;&gt;"D","DISPONIBLE DOBLANDO",IF(F65="RESTRINGIDO (Viene de Noche)","RESTRINGIDO (Descanso 24h)",IF(G65=0,"PRIORITARIO LIBRE (0 ext)","ELEGIBLE LIBRE ("&amp;G65&amp;" ext)"))))</f>
        <v>RESTRINGIDO (Descanso 24h)</v>
      </c>
    </row>
    <row r="66" customFormat="false" ht="15" hidden="false" customHeight="false" outlineLevel="0" collapsed="false">
      <c r="A66" s="5" t="n">
        <f aca="false">Policías!A61</f>
        <v>157</v>
      </c>
      <c r="B66" s="6" t="str">
        <f aca="false">Policías!B61</f>
        <v> Dominguez Ruiz</v>
      </c>
      <c r="C66" s="6" t="str">
        <f aca="false">Policías!C61</f>
        <v>Policía</v>
      </c>
      <c r="D66" s="5" t="str">
        <f aca="false">INDEX(Cuadrante!$D$5:$AH$63,MATCH(A66,Cuadrante!$A$5:$A$63,0),MATCH($B$5,Cuadrante!$D$4:$AH$4,0))</f>
        <v>T</v>
      </c>
      <c r="E66" s="5" t="str">
        <f aca="false">IFERROR(INDEX(Cuadrante!$D$5:$AH$63,MATCH(A66,Cuadrante!$A$5:$A$63,0),MATCH($B$5,Cuadrante!$D$4:$AH$4,0)-1),"N/A")</f>
        <v>M</v>
      </c>
      <c r="F66" s="5" t="str">
        <f aca="false">IF(E66="N","RESTRINGIDO (Viene de Noche)","APTO")</f>
        <v>APTO</v>
      </c>
      <c r="G66" s="5" t="n">
        <f aca="false">SUMIF(Historico_Extras!$C$5:$C$104,A66,Historico_Extras!$F$5:$F$104)</f>
        <v>0</v>
      </c>
      <c r="H66" s="5" t="str">
        <f aca="false">IF(OR(D66="VAC",D66="BAJA",D66="AP",D66="HS"),"NO DISPONIBLE ("&amp;D66&amp;")",IF(D66&lt;&gt;"D","DISPONIBLE DOBLANDO",IF(F66="RESTRINGIDO (Viene de Noche)","RESTRINGIDO (Descanso 24h)",IF(G66=0,"PRIORITARIO LIBRE (0 ext)","ELEGIBLE LIBRE ("&amp;G66&amp;" ext)"))))</f>
        <v>DISPONIBLE DOBLANDO</v>
      </c>
    </row>
    <row r="67" customFormat="false" ht="15" hidden="false" customHeight="false" outlineLevel="0" collapsed="false">
      <c r="A67" s="5" t="n">
        <f aca="false">Policías!A62</f>
        <v>158</v>
      </c>
      <c r="B67" s="6" t="str">
        <f aca="false">Policías!B62</f>
        <v>Javier</v>
      </c>
      <c r="C67" s="6" t="str">
        <f aca="false">Policías!C62</f>
        <v>Policía</v>
      </c>
      <c r="D67" s="5" t="str">
        <f aca="false">INDEX(Cuadrante!$D$5:$AH$63,MATCH(A67,Cuadrante!$A$5:$A$63,0),MATCH($B$5,Cuadrante!$D$4:$AH$4,0))</f>
        <v>T</v>
      </c>
      <c r="E67" s="5" t="str">
        <f aca="false">IFERROR(INDEX(Cuadrante!$D$5:$AH$63,MATCH(A67,Cuadrante!$A$5:$A$63,0),MATCH($B$5,Cuadrante!$D$4:$AH$4,0)-1),"N/A")</f>
        <v>M</v>
      </c>
      <c r="F67" s="5" t="str">
        <f aca="false">IF(E67="N","RESTRINGIDO (Viene de Noche)","APTO")</f>
        <v>APTO</v>
      </c>
      <c r="G67" s="5" t="n">
        <f aca="false">SUMIF(Historico_Extras!$C$5:$C$104,A67,Historico_Extras!$F$5:$F$104)</f>
        <v>0</v>
      </c>
      <c r="H67" s="5" t="str">
        <f aca="false">IF(OR(D67="VAC",D67="BAJA",D67="AP",D67="HS"),"NO DISPONIBLE ("&amp;D67&amp;")",IF(D67&lt;&gt;"D","DISPONIBLE DOBLANDO",IF(F67="RESTRINGIDO (Viene de Noche)","RESTRINGIDO (Descanso 24h)",IF(G67=0,"PRIORITARIO LIBRE (0 ext)","ELEGIBLE LIBRE ("&amp;G67&amp;" ext)"))))</f>
        <v>DISPONIBLE DOBLANDO</v>
      </c>
    </row>
    <row r="68" customFormat="false" ht="15" hidden="false" customHeight="false" outlineLevel="0" collapsed="false">
      <c r="A68" s="5" t="n">
        <f aca="false">Policías!A63</f>
        <v>159</v>
      </c>
      <c r="B68" s="6" t="str">
        <f aca="false">Policías!B63</f>
        <v>Muriel</v>
      </c>
      <c r="C68" s="6" t="str">
        <f aca="false">Policías!C63</f>
        <v>Policía</v>
      </c>
      <c r="D68" s="5" t="str">
        <f aca="false">INDEX(Cuadrante!$D$5:$AH$63,MATCH(A68,Cuadrante!$A$5:$A$63,0),MATCH($B$5,Cuadrante!$D$4:$AH$4,0))</f>
        <v>T</v>
      </c>
      <c r="E68" s="5" t="str">
        <f aca="false">IFERROR(INDEX(Cuadrante!$D$5:$AH$63,MATCH(A68,Cuadrante!$A$5:$A$63,0),MATCH($B$5,Cuadrante!$D$4:$AH$4,0)-1),"N/A")</f>
        <v>M</v>
      </c>
      <c r="F68" s="5" t="str">
        <f aca="false">IF(E68="N","RESTRINGIDO (Viene de Noche)","APTO")</f>
        <v>APTO</v>
      </c>
      <c r="G68" s="5" t="n">
        <f aca="false">SUMIF(Historico_Extras!$C$5:$C$104,A68,Historico_Extras!$F$5:$F$104)</f>
        <v>0</v>
      </c>
      <c r="H68" s="5" t="str">
        <f aca="false">IF(OR(D68="VAC",D68="BAJA",D68="AP",D68="HS"),"NO DISPONIBLE ("&amp;D68&amp;")",IF(D68&lt;&gt;"D","DISPONIBLE DOBLANDO",IF(F68="RESTRINGIDO (Viene de Noche)","RESTRINGIDO (Descanso 24h)",IF(G68=0,"PRIORITARIO LIBRE (0 ext)","ELEGIBLE LIBRE ("&amp;G68&amp;" ext)"))))</f>
        <v>DISPONIBLE DOBLANDO</v>
      </c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9:H68"/>
  <mergeCells count="1"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20"/>
    <col collapsed="false" customWidth="true" hidden="false" outlineLevel="0" max="6" min="6" style="1" width="31.99"/>
    <col collapsed="false" customWidth="true" hidden="false" outlineLevel="0" max="7" min="7" style="1" width="22"/>
    <col collapsed="false" customWidth="true" hidden="false" outlineLevel="0" max="9" min="8" style="1" width="18"/>
    <col collapsed="false" customWidth="true" hidden="false" outlineLevel="0" max="10" min="10" style="1" width="32"/>
  </cols>
  <sheetData>
    <row r="1" customFormat="false" ht="18.55" hidden="false" customHeight="false" outlineLevel="0" collapsed="false">
      <c r="A1" s="2" t="s">
        <v>172</v>
      </c>
    </row>
    <row r="2" customFormat="false" ht="15" hidden="false" customHeight="false" outlineLevel="0" collapsed="false">
      <c r="A2" s="3" t="s">
        <v>173</v>
      </c>
    </row>
    <row r="4" customFormat="false" ht="15" hidden="false" customHeight="false" outlineLevel="0" collapsed="false">
      <c r="A4" s="20" t="s">
        <v>174</v>
      </c>
      <c r="B4" s="20"/>
      <c r="C4" s="20"/>
      <c r="D4" s="20"/>
      <c r="E4" s="20"/>
      <c r="F4" s="20"/>
    </row>
    <row r="5" customFormat="false" ht="15" hidden="false" customHeight="false" outlineLevel="0" collapsed="false">
      <c r="A5" s="23" t="s">
        <v>175</v>
      </c>
      <c r="B5" s="23" t="s">
        <v>176</v>
      </c>
      <c r="C5" s="23" t="s">
        <v>177</v>
      </c>
      <c r="D5" s="24" t="s">
        <v>178</v>
      </c>
      <c r="E5" s="23" t="s">
        <v>179</v>
      </c>
      <c r="F5" s="24" t="s">
        <v>180</v>
      </c>
    </row>
    <row r="6" customFormat="false" ht="15" hidden="false" customHeight="false" outlineLevel="0" collapsed="false">
      <c r="A6" s="5" t="n">
        <v>1</v>
      </c>
      <c r="B6" s="5" t="s">
        <v>95</v>
      </c>
      <c r="C6" s="5" t="s">
        <v>157</v>
      </c>
      <c r="D6" s="6" t="s">
        <v>181</v>
      </c>
      <c r="E6" s="5" t="n">
        <v>2</v>
      </c>
      <c r="F6" s="6" t="s">
        <v>182</v>
      </c>
    </row>
    <row r="7" customFormat="false" ht="15" hidden="false" customHeight="false" outlineLevel="0" collapsed="false">
      <c r="A7" s="5" t="n">
        <v>2</v>
      </c>
      <c r="B7" s="5" t="s">
        <v>95</v>
      </c>
      <c r="C7" s="5" t="s">
        <v>159</v>
      </c>
      <c r="D7" s="6" t="s">
        <v>183</v>
      </c>
      <c r="E7" s="5" t="n">
        <v>1</v>
      </c>
      <c r="F7" s="6" t="s">
        <v>184</v>
      </c>
    </row>
    <row r="8" customFormat="false" ht="15" hidden="false" customHeight="false" outlineLevel="0" collapsed="false">
      <c r="A8" s="5" t="n">
        <v>3</v>
      </c>
      <c r="B8" s="5" t="s">
        <v>96</v>
      </c>
      <c r="C8" s="5" t="s">
        <v>161</v>
      </c>
      <c r="D8" s="6" t="s">
        <v>185</v>
      </c>
      <c r="E8" s="5" t="n">
        <v>3</v>
      </c>
      <c r="F8" s="6" t="s">
        <v>186</v>
      </c>
    </row>
    <row r="10" customFormat="false" ht="15" hidden="false" customHeight="false" outlineLevel="0" collapsed="false">
      <c r="A10" s="25" t="s">
        <v>187</v>
      </c>
      <c r="C10" s="26" t="n">
        <v>1</v>
      </c>
      <c r="E10" s="25" t="s">
        <v>188</v>
      </c>
      <c r="G10" s="27" t="n">
        <f aca="false">VLOOKUP($C$10,$A$6:$F$8,5,FALSE())</f>
        <v>2</v>
      </c>
    </row>
    <row r="12" customFormat="false" ht="15" hidden="false" customHeight="false" outlineLevel="0" collapsed="false">
      <c r="A12" s="20" t="s">
        <v>189</v>
      </c>
      <c r="B12" s="20"/>
      <c r="C12" s="20"/>
      <c r="D12" s="20"/>
      <c r="E12" s="20"/>
      <c r="F12" s="20"/>
      <c r="G12" s="20"/>
      <c r="H12" s="20"/>
      <c r="I12" s="20"/>
      <c r="J12" s="20"/>
    </row>
    <row r="13" customFormat="false" ht="15" hidden="false" customHeight="false" outlineLevel="0" collapsed="false">
      <c r="A13" s="23" t="s">
        <v>190</v>
      </c>
      <c r="B13" s="24" t="s">
        <v>3</v>
      </c>
      <c r="C13" s="24" t="s">
        <v>4</v>
      </c>
      <c r="D13" s="23" t="s">
        <v>191</v>
      </c>
      <c r="E13" s="23" t="s">
        <v>168</v>
      </c>
      <c r="F13" s="23" t="s">
        <v>169</v>
      </c>
      <c r="G13" s="23" t="s">
        <v>170</v>
      </c>
      <c r="H13" s="23" t="s">
        <v>192</v>
      </c>
      <c r="I13" s="23" t="s">
        <v>193</v>
      </c>
      <c r="J13" s="23" t="s">
        <v>194</v>
      </c>
    </row>
    <row r="14" customFormat="false" ht="15" hidden="false" customHeight="false" outlineLevel="0" collapsed="false">
      <c r="A14" s="5" t="n">
        <v>101</v>
      </c>
      <c r="B14" s="28" t="str">
        <f aca="false">IF(A14="","",IFERROR(VLOOKUP(A14,Policías!$A$5:$B$63,2,FALSE()),""))</f>
        <v>Francisca </v>
      </c>
      <c r="C14" s="28" t="str">
        <f aca="false">IF(A14="","",IFERROR(VLOOKUP(A14,Policías!$A$5:$C$63,3,FALSE()),""))</f>
        <v>Inspectora</v>
      </c>
      <c r="D14" s="29" t="str">
        <f aca="false">IF(A14="","",INDEX(Cuadrante!$D$5:$AH$63,MATCH(A14,Cuadrante!$A$5:$A$63,0),MATCH(VLOOKUP($C$10,$A$6:$F$8,2,FALSE()),Cuadrante!$D$4:$AH$4,0)))</f>
        <v>D</v>
      </c>
      <c r="E14" s="29" t="str">
        <f aca="false">IF(A14="","",IFERROR(INDEX(Cuadrante!$D$5:$AH$63,MATCH(A14,Cuadrante!$A$5:$A$63,0),MATCH(VLOOKUP($C$10,$A$6:$F$8,2,FALSE()),Cuadrante!$D$4:$AH$4,0)-1),"N/A"))</f>
        <v>M</v>
      </c>
      <c r="F14" s="29" t="str">
        <f aca="false">IF(A14="","",IF(OR(AND(E14="N",VLOOKUP($C$10,$A$6:$F$8,3,FALSE())="Mañana"),AND(D14="N",VLOOKUP($C$10,$A$6:$F$8,3,FALSE())="Mañana")),"RESTRINGIDO (Noche a Mañana)","APTO"))</f>
        <v>APTO</v>
      </c>
      <c r="G14" s="29" t="n">
        <f aca="false">IF(A14="","",SUMIF(Historico_Extras!$C$5:$C$104,A14,Historico_Extras!$F$5:$F$104))</f>
        <v>2</v>
      </c>
      <c r="H14" s="29" t="n">
        <f aca="false">IF(A14="","",IF(OR(F14&lt;&gt;"APTO",D14="VAC",D14="BAJA",D14="AP",D14="HS"),99999,IF(D14="D",G14*1000+ROW(),50000+G14*1000+ROW())))</f>
        <v>2014</v>
      </c>
      <c r="I14" s="29" t="n">
        <f aca="false">IF(OR(A14="",H14=99999),"",RANK(H14,$H$14:$H$33,1))</f>
        <v>7</v>
      </c>
      <c r="J14" s="30" t="str">
        <f aca="false">IF(A14="","",IF(OR(D14="VAC",D14="BAJA",D14="AP",D14="HS"),"NO DISPONIBLE ("&amp;D14&amp;")",IF(F14&lt;&gt;"APTO","RESTRINGIDO (Noche a Mañana)",IF(AND(I14&lt;&gt;"",I14&lt;=$G$10),IF(D14="D","¡ADJUDICADO LIBRE! (Plaza "&amp;I14&amp;")","¡ADJUDICADO DOBLANDO! (Plaza "&amp;I14&amp;")"),IF(D14="D","Inscrito Libre ("&amp;G14&amp;" ext)","Inscrito Doblado ("&amp;G14&amp;" ext)")))))</f>
        <v>Inscrito Libre (2 ext)</v>
      </c>
    </row>
    <row r="15" customFormat="false" ht="15" hidden="false" customHeight="false" outlineLevel="0" collapsed="false">
      <c r="A15" s="5" t="n">
        <v>102</v>
      </c>
      <c r="B15" s="28" t="str">
        <f aca="false">IF(A15="","",IFERROR(VLOOKUP(A15,Policías!$A$5:$B$63,2,FALSE()),""))</f>
        <v>Manuel </v>
      </c>
      <c r="C15" s="28" t="str">
        <f aca="false">IF(A15="","",IFERROR(VLOOKUP(A15,Policías!$A$5:$C$63,3,FALSE()),""))</f>
        <v>Subinspector</v>
      </c>
      <c r="D15" s="29" t="str">
        <f aca="false">IF(A15="","",INDEX(Cuadrante!$D$5:$AH$63,MATCH(A15,Cuadrante!$A$5:$A$63,0),MATCH(VLOOKUP($C$10,$A$6:$F$8,2,FALSE()),Cuadrante!$D$4:$AH$4,0)))</f>
        <v>D</v>
      </c>
      <c r="E15" s="29" t="str">
        <f aca="false">IF(A15="","",IFERROR(INDEX(Cuadrante!$D$5:$AH$63,MATCH(A15,Cuadrante!$A$5:$A$63,0),MATCH(VLOOKUP($C$10,$A$6:$F$8,2,FALSE()),Cuadrante!$D$4:$AH$4,0)-1),"N/A"))</f>
        <v>M</v>
      </c>
      <c r="F15" s="29" t="str">
        <f aca="false">IF(A15="","",IF(OR(AND(E15="N",VLOOKUP($C$10,$A$6:$F$8,3,FALSE())="Mañana"),AND(D15="N",VLOOKUP($C$10,$A$6:$F$8,3,FALSE())="Mañana")),"RESTRINGIDO (Noche a Mañana)","APTO"))</f>
        <v>APTO</v>
      </c>
      <c r="G15" s="29" t="n">
        <f aca="false">IF(A15="","",SUMIF(Historico_Extras!$C$5:$C$104,A15,Historico_Extras!$F$5:$F$104))</f>
        <v>0</v>
      </c>
      <c r="H15" s="29" t="n">
        <f aca="false">IF(A15="","",IF(OR(F15&lt;&gt;"APTO",D15="VAC",D15="BAJA",D15="AP",D15="HS"),99999,IF(D15="D",G15*1000+ROW(),50000+G15*1000+ROW())))</f>
        <v>15</v>
      </c>
      <c r="I15" s="29" t="n">
        <f aca="false">IF(OR(A15="",H15=99999),"",RANK(H15,$H$14:$H$33,1))</f>
        <v>1</v>
      </c>
      <c r="J15" s="30" t="str">
        <f aca="false">IF(A15="","",IF(OR(D15="VAC",D15="BAJA",D15="AP",D15="HS"),"NO DISPONIBLE ("&amp;D15&amp;")",IF(F15&lt;&gt;"APTO","RESTRINGIDO (Noche a Mañana)",IF(AND(I15&lt;&gt;"",I15&lt;=$G$10),IF(D15="D","¡ADJUDICADO LIBRE! (Plaza "&amp;I15&amp;")","¡ADJUDICADO DOBLANDO! (Plaza "&amp;I15&amp;")"),IF(D15="D","Inscrito Libre ("&amp;G15&amp;" ext)","Inscrito Doblado ("&amp;G15&amp;" ext)")))))</f>
        <v>¡ADJUDICADO LIBRE! (Plaza 1)</v>
      </c>
    </row>
    <row r="16" customFormat="false" ht="15" hidden="false" customHeight="false" outlineLevel="0" collapsed="false">
      <c r="A16" s="5" t="n">
        <v>105</v>
      </c>
      <c r="B16" s="28" t="str">
        <f aca="false">IF(A16="","",IFERROR(VLOOKUP(A16,Policías!$A$5:$B$63,2,FALSE()),""))</f>
        <v>Adrián</v>
      </c>
      <c r="C16" s="28" t="str">
        <f aca="false">IF(A16="","",IFERROR(VLOOKUP(A16,Policías!$A$5:$C$63,3,FALSE()),""))</f>
        <v>Oficial Policía</v>
      </c>
      <c r="D16" s="29" t="str">
        <f aca="false">IF(A16="","",INDEX(Cuadrante!$D$5:$AH$63,MATCH(A16,Cuadrante!$A$5:$A$63,0),MATCH(VLOOKUP($C$10,$A$6:$F$8,2,FALSE()),Cuadrante!$D$4:$AH$4,0)))</f>
        <v>D</v>
      </c>
      <c r="E16" s="29" t="str">
        <f aca="false">IF(A16="","",IFERROR(INDEX(Cuadrante!$D$5:$AH$63,MATCH(A16,Cuadrante!$A$5:$A$63,0),MATCH(VLOOKUP($C$10,$A$6:$F$8,2,FALSE()),Cuadrante!$D$4:$AH$4,0)-1),"N/A"))</f>
        <v>D</v>
      </c>
      <c r="F16" s="29" t="str">
        <f aca="false">IF(A16="","",IF(OR(AND(E16="N",VLOOKUP($C$10,$A$6:$F$8,3,FALSE())="Mañana"),AND(D16="N",VLOOKUP($C$10,$A$6:$F$8,3,FALSE())="Mañana")),"RESTRINGIDO (Noche a Mañana)","APTO"))</f>
        <v>APTO</v>
      </c>
      <c r="G16" s="29" t="n">
        <f aca="false">IF(A16="","",SUMIF(Historico_Extras!$C$5:$C$104,A16,Historico_Extras!$F$5:$F$104))</f>
        <v>0</v>
      </c>
      <c r="H16" s="29" t="n">
        <f aca="false">IF(A16="","",IF(OR(F16&lt;&gt;"APTO",D16="VAC",D16="BAJA",D16="AP",D16="HS"),99999,IF(D16="D",G16*1000+ROW(),50000+G16*1000+ROW())))</f>
        <v>16</v>
      </c>
      <c r="I16" s="29" t="n">
        <f aca="false">IF(OR(A16="",H16=99999),"",RANK(H16,$H$14:$H$33,1))</f>
        <v>2</v>
      </c>
      <c r="J16" s="30" t="str">
        <f aca="false">IF(A16="","",IF(OR(D16="VAC",D16="BAJA",D16="AP",D16="HS"),"NO DISPONIBLE ("&amp;D16&amp;")",IF(F16&lt;&gt;"APTO","RESTRINGIDO (Noche a Mañana)",IF(AND(I16&lt;&gt;"",I16&lt;=$G$10),IF(D16="D","¡ADJUDICADO LIBRE! (Plaza "&amp;I16&amp;")","¡ADJUDICADO DOBLANDO! (Plaza "&amp;I16&amp;")"),IF(D16="D","Inscrito Libre ("&amp;G16&amp;" ext)","Inscrito Doblado ("&amp;G16&amp;" ext)")))))</f>
        <v>¡ADJUDICADO LIBRE! (Plaza 2)</v>
      </c>
    </row>
    <row r="17" customFormat="false" ht="15" hidden="false" customHeight="false" outlineLevel="0" collapsed="false">
      <c r="A17" s="5" t="n">
        <v>108</v>
      </c>
      <c r="B17" s="28" t="str">
        <f aca="false">IF(A17="","",IFERROR(VLOOKUP(A17,Policías!$A$5:$B$63,2,FALSE()),""))</f>
        <v>Manuel 2</v>
      </c>
      <c r="C17" s="28" t="str">
        <f aca="false">IF(A17="","",IFERROR(VLOOKUP(A17,Policías!$A$5:$C$63,3,FALSE()),""))</f>
        <v>Oficial Policía</v>
      </c>
      <c r="D17" s="29" t="str">
        <f aca="false">IF(A17="","",INDEX(Cuadrante!$D$5:$AH$63,MATCH(A17,Cuadrante!$A$5:$A$63,0),MATCH(VLOOKUP($C$10,$A$6:$F$8,2,FALSE()),Cuadrante!$D$4:$AH$4,0)))</f>
        <v>D</v>
      </c>
      <c r="E17" s="29" t="str">
        <f aca="false">IF(A17="","",IFERROR(INDEX(Cuadrante!$D$5:$AH$63,MATCH(A17,Cuadrante!$A$5:$A$63,0),MATCH(VLOOKUP($C$10,$A$6:$F$8,2,FALSE()),Cuadrante!$D$4:$AH$4,0)-1),"N/A"))</f>
        <v>D</v>
      </c>
      <c r="F17" s="29" t="str">
        <f aca="false">IF(A17="","",IF(OR(AND(E17="N",VLOOKUP($C$10,$A$6:$F$8,3,FALSE())="Mañana"),AND(D17="N",VLOOKUP($C$10,$A$6:$F$8,3,FALSE())="Mañana")),"RESTRINGIDO (Noche a Mañana)","APTO"))</f>
        <v>APTO</v>
      </c>
      <c r="G17" s="29" t="n">
        <f aca="false">IF(A17="","",SUMIF(Historico_Extras!$C$5:$C$104,A17,Historico_Extras!$F$5:$F$104))</f>
        <v>0</v>
      </c>
      <c r="H17" s="29" t="n">
        <f aca="false">IF(A17="","",IF(OR(F17&lt;&gt;"APTO",D17="VAC",D17="BAJA",D17="AP",D17="HS"),99999,IF(D17="D",G17*1000+ROW(),50000+G17*1000+ROW())))</f>
        <v>17</v>
      </c>
      <c r="I17" s="29" t="n">
        <f aca="false">IF(OR(A17="",H17=99999),"",RANK(H17,$H$14:$H$33,1))</f>
        <v>3</v>
      </c>
      <c r="J17" s="30" t="str">
        <f aca="false">IF(A17="","",IF(OR(D17="VAC",D17="BAJA",D17="AP",D17="HS"),"NO DISPONIBLE ("&amp;D17&amp;")",IF(F17&lt;&gt;"APTO","RESTRINGIDO (Noche a Mañana)",IF(AND(I17&lt;&gt;"",I17&lt;=$G$10),IF(D17="D","¡ADJUDICADO LIBRE! (Plaza "&amp;I17&amp;")","¡ADJUDICADO DOBLANDO! (Plaza "&amp;I17&amp;")"),IF(D17="D","Inscrito Libre ("&amp;G17&amp;" ext)","Inscrito Doblado ("&amp;G17&amp;" ext)")))))</f>
        <v>Inscrito Libre (0 ext)</v>
      </c>
    </row>
    <row r="18" customFormat="false" ht="15" hidden="false" customHeight="false" outlineLevel="0" collapsed="false">
      <c r="A18" s="5" t="n">
        <v>110</v>
      </c>
      <c r="B18" s="28" t="str">
        <f aca="false">IF(A18="","",IFERROR(VLOOKUP(A18,Policías!$A$5:$B$63,2,FALSE()),""))</f>
        <v>Julián </v>
      </c>
      <c r="C18" s="28" t="str">
        <f aca="false">IF(A18="","",IFERROR(VLOOKUP(A18,Policías!$A$5:$C$63,3,FALSE()),""))</f>
        <v>Policía</v>
      </c>
      <c r="D18" s="29" t="str">
        <f aca="false">IF(A18="","",INDEX(Cuadrante!$D$5:$AH$63,MATCH(A18,Cuadrante!$A$5:$A$63,0),MATCH(VLOOKUP($C$10,$A$6:$F$8,2,FALSE()),Cuadrante!$D$4:$AH$4,0)))</f>
        <v>D</v>
      </c>
      <c r="E18" s="29" t="str">
        <f aca="false">IF(A18="","",IFERROR(INDEX(Cuadrante!$D$5:$AH$63,MATCH(A18,Cuadrante!$A$5:$A$63,0),MATCH(VLOOKUP($C$10,$A$6:$F$8,2,FALSE()),Cuadrante!$D$4:$AH$4,0)-1),"N/A"))</f>
        <v>M</v>
      </c>
      <c r="F18" s="29" t="str">
        <f aca="false">IF(A18="","",IF(OR(AND(E18="N",VLOOKUP($C$10,$A$6:$F$8,3,FALSE())="Mañana"),AND(D18="N",VLOOKUP($C$10,$A$6:$F$8,3,FALSE())="Mañana")),"RESTRINGIDO (Noche a Mañana)","APTO"))</f>
        <v>APTO</v>
      </c>
      <c r="G18" s="29" t="n">
        <f aca="false">IF(A18="","",SUMIF(Historico_Extras!$C$5:$C$104,A18,Historico_Extras!$F$5:$F$104))</f>
        <v>0</v>
      </c>
      <c r="H18" s="29" t="n">
        <f aca="false">IF(A18="","",IF(OR(F18&lt;&gt;"APTO",D18="VAC",D18="BAJA",D18="AP",D18="HS"),99999,IF(D18="D",G18*1000+ROW(),50000+G18*1000+ROW())))</f>
        <v>18</v>
      </c>
      <c r="I18" s="29" t="n">
        <f aca="false">IF(OR(A18="",H18=99999),"",RANK(H18,$H$14:$H$33,1))</f>
        <v>4</v>
      </c>
      <c r="J18" s="30" t="str">
        <f aca="false">IF(A18="","",IF(OR(D18="VAC",D18="BAJA",D18="AP",D18="HS"),"NO DISPONIBLE ("&amp;D18&amp;")",IF(F18&lt;&gt;"APTO","RESTRINGIDO (Noche a Mañana)",IF(AND(I18&lt;&gt;"",I18&lt;=$G$10),IF(D18="D","¡ADJUDICADO LIBRE! (Plaza "&amp;I18&amp;")","¡ADJUDICADO DOBLANDO! (Plaza "&amp;I18&amp;")"),IF(D18="D","Inscrito Libre ("&amp;G18&amp;" ext)","Inscrito Doblado ("&amp;G18&amp;" ext)")))))</f>
        <v>Inscrito Libre (0 ext)</v>
      </c>
    </row>
    <row r="19" customFormat="false" ht="15" hidden="false" customHeight="false" outlineLevel="0" collapsed="false">
      <c r="A19" s="5" t="n">
        <v>112</v>
      </c>
      <c r="B19" s="28" t="str">
        <f aca="false">IF(A19="","",IFERROR(VLOOKUP(A19,Policías!$A$5:$B$63,2,FALSE()),""))</f>
        <v>Juan Jesús </v>
      </c>
      <c r="C19" s="28" t="str">
        <f aca="false">IF(A19="","",IFERROR(VLOOKUP(A19,Policías!$A$5:$C$63,3,FALSE()),""))</f>
        <v>Policía</v>
      </c>
      <c r="D19" s="29" t="str">
        <f aca="false">IF(A19="","",INDEX(Cuadrante!$D$5:$AH$63,MATCH(A19,Cuadrante!$A$5:$A$63,0),MATCH(VLOOKUP($C$10,$A$6:$F$8,2,FALSE()),Cuadrante!$D$4:$AH$4,0)))</f>
        <v>D</v>
      </c>
      <c r="E19" s="29" t="str">
        <f aca="false">IF(A19="","",IFERROR(INDEX(Cuadrante!$D$5:$AH$63,MATCH(A19,Cuadrante!$A$5:$A$63,0),MATCH(VLOOKUP($C$10,$A$6:$F$8,2,FALSE()),Cuadrante!$D$4:$AH$4,0)-1),"N/A"))</f>
        <v>D</v>
      </c>
      <c r="F19" s="29" t="str">
        <f aca="false">IF(A19="","",IF(OR(AND(E19="N",VLOOKUP($C$10,$A$6:$F$8,3,FALSE())="Mañana"),AND(D19="N",VLOOKUP($C$10,$A$6:$F$8,3,FALSE())="Mañana")),"RESTRINGIDO (Noche a Mañana)","APTO"))</f>
        <v>APTO</v>
      </c>
      <c r="G19" s="29" t="n">
        <f aca="false">IF(A19="","",SUMIF(Historico_Extras!$C$5:$C$104,A19,Historico_Extras!$F$5:$F$104))</f>
        <v>0</v>
      </c>
      <c r="H19" s="29" t="n">
        <f aca="false">IF(A19="","",IF(OR(F19&lt;&gt;"APTO",D19="VAC",D19="BAJA",D19="AP",D19="HS"),99999,IF(D19="D",G19*1000+ROW(),50000+G19*1000+ROW())))</f>
        <v>19</v>
      </c>
      <c r="I19" s="29" t="n">
        <f aca="false">IF(OR(A19="",H19=99999),"",RANK(H19,$H$14:$H$33,1))</f>
        <v>5</v>
      </c>
      <c r="J19" s="30" t="str">
        <f aca="false">IF(A19="","",IF(OR(D19="VAC",D19="BAJA",D19="AP",D19="HS"),"NO DISPONIBLE ("&amp;D19&amp;")",IF(F19&lt;&gt;"APTO","RESTRINGIDO (Noche a Mañana)",IF(AND(I19&lt;&gt;"",I19&lt;=$G$10),IF(D19="D","¡ADJUDICADO LIBRE! (Plaza "&amp;I19&amp;")","¡ADJUDICADO DOBLANDO! (Plaza "&amp;I19&amp;")"),IF(D19="D","Inscrito Libre ("&amp;G19&amp;" ext)","Inscrito Doblado ("&amp;G19&amp;" ext)")))))</f>
        <v>Inscrito Libre (0 ext)</v>
      </c>
    </row>
    <row r="20" customFormat="false" ht="15" hidden="false" customHeight="false" outlineLevel="0" collapsed="false">
      <c r="A20" s="5" t="n">
        <v>115</v>
      </c>
      <c r="B20" s="28" t="str">
        <f aca="false">IF(A20="","",IFERROR(VLOOKUP(A20,Policías!$A$5:$B$63,2,FALSE()),""))</f>
        <v>Martín Francisco </v>
      </c>
      <c r="C20" s="28" t="str">
        <f aca="false">IF(A20="","",IFERROR(VLOOKUP(A20,Policías!$A$5:$C$63,3,FALSE()),""))</f>
        <v>Policía</v>
      </c>
      <c r="D20" s="29" t="str">
        <f aca="false">IF(A20="","",INDEX(Cuadrante!$D$5:$AH$63,MATCH(A20,Cuadrante!$A$5:$A$63,0),MATCH(VLOOKUP($C$10,$A$6:$F$8,2,FALSE()),Cuadrante!$D$4:$AH$4,0)))</f>
        <v>D</v>
      </c>
      <c r="E20" s="29" t="str">
        <f aca="false">IF(A20="","",IFERROR(INDEX(Cuadrante!$D$5:$AH$63,MATCH(A20,Cuadrante!$A$5:$A$63,0),MATCH(VLOOKUP($C$10,$A$6:$F$8,2,FALSE()),Cuadrante!$D$4:$AH$4,0)-1),"N/A"))</f>
        <v>N</v>
      </c>
      <c r="F20" s="29" t="str">
        <f aca="false">IF(A20="","",IF(OR(AND(E20="N",VLOOKUP($C$10,$A$6:$F$8,3,FALSE())="Mañana"),AND(D20="N",VLOOKUP($C$10,$A$6:$F$8,3,FALSE())="Mañana")),"RESTRINGIDO (Noche a Mañana)","APTO"))</f>
        <v>RESTRINGIDO (Noche a Mañana)</v>
      </c>
      <c r="G20" s="29" t="n">
        <f aca="false">IF(A20="","",SUMIF(Historico_Extras!$C$5:$C$104,A20,Historico_Extras!$F$5:$F$104))</f>
        <v>0</v>
      </c>
      <c r="H20" s="29" t="n">
        <f aca="false">IF(A20="","",IF(OR(F20&lt;&gt;"APTO",D20="VAC",D20="BAJA",D20="AP",D20="HS"),99999,IF(D20="D",G20*1000+ROW(),50000+G20*1000+ROW())))</f>
        <v>99999</v>
      </c>
      <c r="I20" s="29" t="str">
        <f aca="false">IF(OR(A20="",H20=99999),"",RANK(H20,$H$14:$H$33,1))</f>
        <v/>
      </c>
      <c r="J20" s="30" t="str">
        <f aca="false">IF(A20="","",IF(OR(D20="VAC",D20="BAJA",D20="AP",D20="HS"),"NO DISPONIBLE ("&amp;D20&amp;")",IF(F20&lt;&gt;"APTO","RESTRINGIDO (Noche a Mañana)",IF(AND(I20&lt;&gt;"",I20&lt;=$G$10),IF(D20="D","¡ADJUDICADO LIBRE! (Plaza "&amp;I20&amp;")","¡ADJUDICADO DOBLANDO! (Plaza "&amp;I20&amp;")"),IF(D20="D","Inscrito Libre ("&amp;G20&amp;" ext)","Inscrito Doblado ("&amp;G20&amp;" ext)")))))</f>
        <v>RESTRINGIDO (Noche a Mañana)</v>
      </c>
    </row>
    <row r="21" customFormat="false" ht="15" hidden="false" customHeight="false" outlineLevel="0" collapsed="false">
      <c r="A21" s="5" t="n">
        <v>120</v>
      </c>
      <c r="B21" s="28" t="str">
        <f aca="false">IF(A21="","",IFERROR(VLOOKUP(A21,Policías!$A$5:$B$63,2,FALSE()),""))</f>
        <v>Jose Antonio </v>
      </c>
      <c r="C21" s="28" t="str">
        <f aca="false">IF(A21="","",IFERROR(VLOOKUP(A21,Policías!$A$5:$C$63,3,FALSE()),""))</f>
        <v>Policía</v>
      </c>
      <c r="D21" s="29" t="str">
        <f aca="false">IF(A21="","",INDEX(Cuadrante!$D$5:$AH$63,MATCH(A21,Cuadrante!$A$5:$A$63,0),MATCH(VLOOKUP($C$10,$A$6:$F$8,2,FALSE()),Cuadrante!$D$4:$AH$4,0)))</f>
        <v>D</v>
      </c>
      <c r="E21" s="29" t="str">
        <f aca="false">IF(A21="","",IFERROR(INDEX(Cuadrante!$D$5:$AH$63,MATCH(A21,Cuadrante!$A$5:$A$63,0),MATCH(VLOOKUP($C$10,$A$6:$F$8,2,FALSE()),Cuadrante!$D$4:$AH$4,0)-1),"N/A"))</f>
        <v>D</v>
      </c>
      <c r="F21" s="29" t="str">
        <f aca="false">IF(A21="","",IF(OR(AND(E21="N",VLOOKUP($C$10,$A$6:$F$8,3,FALSE())="Mañana"),AND(D21="N",VLOOKUP($C$10,$A$6:$F$8,3,FALSE())="Mañana")),"RESTRINGIDO (Noche a Mañana)","APTO"))</f>
        <v>APTO</v>
      </c>
      <c r="G21" s="29" t="n">
        <f aca="false">IF(A21="","",SUMIF(Historico_Extras!$C$5:$C$104,A21,Historico_Extras!$F$5:$F$104))</f>
        <v>0</v>
      </c>
      <c r="H21" s="29" t="n">
        <f aca="false">IF(A21="","",IF(OR(F21&lt;&gt;"APTO",D21="VAC",D21="BAJA",D21="AP",D21="HS"),99999,IF(D21="D",G21*1000+ROW(),50000+G21*1000+ROW())))</f>
        <v>21</v>
      </c>
      <c r="I21" s="29" t="n">
        <f aca="false">IF(OR(A21="",H21=99999),"",RANK(H21,$H$14:$H$33,1))</f>
        <v>6</v>
      </c>
      <c r="J21" s="30" t="str">
        <f aca="false">IF(A21="","",IF(OR(D21="VAC",D21="BAJA",D21="AP",D21="HS"),"NO DISPONIBLE ("&amp;D21&amp;")",IF(F21&lt;&gt;"APTO","RESTRINGIDO (Noche a Mañana)",IF(AND(I21&lt;&gt;"",I21&lt;=$G$10),IF(D21="D","¡ADJUDICADO LIBRE! (Plaza "&amp;I21&amp;")","¡ADJUDICADO DOBLANDO! (Plaza "&amp;I21&amp;")"),IF(D21="D","Inscrito Libre ("&amp;G21&amp;" ext)","Inscrito Doblado ("&amp;G21&amp;" ext)")))))</f>
        <v>Inscrito Libre (0 ext)</v>
      </c>
    </row>
    <row r="22" customFormat="false" ht="15" hidden="false" customHeight="false" outlineLevel="0" collapsed="false">
      <c r="A22" s="5"/>
      <c r="B22" s="28" t="str">
        <f aca="false">IF(A22="","",IFERROR(VLOOKUP(A22,Policías!$A$5:$B$63,2,FALSE()),""))</f>
        <v/>
      </c>
      <c r="C22" s="28" t="str">
        <f aca="false">IF(A22="","",IFERROR(VLOOKUP(A22,Policías!$A$5:$C$63,3,FALSE()),""))</f>
        <v/>
      </c>
      <c r="D22" s="29" t="str">
        <f aca="false">IF(A22="","",INDEX(Cuadrante!$D$5:$AH$63,MATCH(A22,Cuadrante!$A$5:$A$63,0),MATCH(VLOOKUP($C$10,$A$6:$F$8,2,FALSE()),Cuadrante!$D$4:$AH$4,0)))</f>
        <v/>
      </c>
      <c r="E22" s="29" t="str">
        <f aca="false">IF(A22="","",IFERROR(INDEX(Cuadrante!$D$5:$AH$63,MATCH(A22,Cuadrante!$A$5:$A$63,0),MATCH(VLOOKUP($C$10,$A$6:$F$8,2,FALSE()),Cuadrante!$D$4:$AH$4,0)-1),"N/A"))</f>
        <v/>
      </c>
      <c r="F22" s="29" t="str">
        <f aca="false">IF(A22="","",IF(OR(AND(E22="N",VLOOKUP($C$10,$A$6:$F$8,3,FALSE())="Mañana"),AND(D22="N",VLOOKUP($C$10,$A$6:$F$8,3,FALSE())="Mañana")),"RESTRINGIDO (Noche a Mañana)","APTO"))</f>
        <v/>
      </c>
      <c r="G22" s="29" t="str">
        <f aca="false">IF(A22="","",SUMIF(Historico_Extras!$C$5:$C$104,A22,Historico_Extras!$F$5:$F$104))</f>
        <v/>
      </c>
      <c r="H22" s="29" t="str">
        <f aca="false">IF(A22="","",IF(OR(F22&lt;&gt;"APTO",D22="VAC",D22="BAJA",D22="AP",D22="HS"),99999,IF(D22="D",G22*1000+ROW(),50000+G22*1000+ROW())))</f>
        <v/>
      </c>
      <c r="I22" s="29" t="str">
        <f aca="false">IF(OR(A22="",H22=99999),"",RANK(H22,$H$14:$H$33,1))</f>
        <v/>
      </c>
      <c r="J22" s="30" t="str">
        <f aca="false">IF(A22="","",IF(OR(D22="VAC",D22="BAJA",D22="AP",D22="HS"),"NO DISPONIBLE ("&amp;D22&amp;")",IF(F22&lt;&gt;"APTO","RESTRINGIDO (Noche a Mañana)",IF(AND(I22&lt;&gt;"",I22&lt;=$G$10),IF(D22="D","¡ADJUDICADO LIBRE! (Plaza "&amp;I22&amp;")","¡ADJUDICADO DOBLANDO! (Plaza "&amp;I22&amp;")"),IF(D22="D","Inscrito Libre ("&amp;G22&amp;" ext)","Inscrito Doblado ("&amp;G22&amp;" ext)")))))</f>
        <v/>
      </c>
    </row>
    <row r="23" customFormat="false" ht="15" hidden="false" customHeight="false" outlineLevel="0" collapsed="false">
      <c r="A23" s="5"/>
      <c r="B23" s="28" t="str">
        <f aca="false">IF(A23="","",IFERROR(VLOOKUP(A23,Policías!$A$5:$B$63,2,FALSE()),""))</f>
        <v/>
      </c>
      <c r="C23" s="28" t="str">
        <f aca="false">IF(A23="","",IFERROR(VLOOKUP(A23,Policías!$A$5:$C$63,3,FALSE()),""))</f>
        <v/>
      </c>
      <c r="D23" s="29" t="str">
        <f aca="false">IF(A23="","",INDEX(Cuadrante!$D$5:$AH$63,MATCH(A23,Cuadrante!$A$5:$A$63,0),MATCH(VLOOKUP($C$10,$A$6:$F$8,2,FALSE()),Cuadrante!$D$4:$AH$4,0)))</f>
        <v/>
      </c>
      <c r="E23" s="29" t="str">
        <f aca="false">IF(A23="","",IFERROR(INDEX(Cuadrante!$D$5:$AH$63,MATCH(A23,Cuadrante!$A$5:$A$63,0),MATCH(VLOOKUP($C$10,$A$6:$F$8,2,FALSE()),Cuadrante!$D$4:$AH$4,0)-1),"N/A"))</f>
        <v/>
      </c>
      <c r="F23" s="29" t="str">
        <f aca="false">IF(A23="","",IF(OR(AND(E23="N",VLOOKUP($C$10,$A$6:$F$8,3,FALSE())="Mañana"),AND(D23="N",VLOOKUP($C$10,$A$6:$F$8,3,FALSE())="Mañana")),"RESTRINGIDO (Noche a Mañana)","APTO"))</f>
        <v/>
      </c>
      <c r="G23" s="29" t="str">
        <f aca="false">IF(A23="","",SUMIF(Historico_Extras!$C$5:$C$104,A23,Historico_Extras!$F$5:$F$104))</f>
        <v/>
      </c>
      <c r="H23" s="29" t="str">
        <f aca="false">IF(A23="","",IF(OR(F23&lt;&gt;"APTO",D23="VAC",D23="BAJA",D23="AP",D23="HS"),99999,IF(D23="D",G23*1000+ROW(),50000+G23*1000+ROW())))</f>
        <v/>
      </c>
      <c r="I23" s="29" t="str">
        <f aca="false">IF(OR(A23="",H23=99999),"",RANK(H23,$H$14:$H$33,1))</f>
        <v/>
      </c>
      <c r="J23" s="30" t="str">
        <f aca="false">IF(A23="","",IF(OR(D23="VAC",D23="BAJA",D23="AP",D23="HS"),"NO DISPONIBLE ("&amp;D23&amp;")",IF(F23&lt;&gt;"APTO","RESTRINGIDO (Noche a Mañana)",IF(AND(I23&lt;&gt;"",I23&lt;=$G$10),IF(D23="D","¡ADJUDICADO LIBRE! (Plaza "&amp;I23&amp;")","¡ADJUDICADO DOBLANDO! (Plaza "&amp;I23&amp;")"),IF(D23="D","Inscrito Libre ("&amp;G23&amp;" ext)","Inscrito Doblado ("&amp;G23&amp;" ext)")))))</f>
        <v/>
      </c>
    </row>
    <row r="24" customFormat="false" ht="15" hidden="false" customHeight="false" outlineLevel="0" collapsed="false">
      <c r="A24" s="5"/>
      <c r="B24" s="28" t="str">
        <f aca="false">IF(A24="","",IFERROR(VLOOKUP(A24,Policías!$A$5:$B$63,2,FALSE()),""))</f>
        <v/>
      </c>
      <c r="C24" s="28" t="str">
        <f aca="false">IF(A24="","",IFERROR(VLOOKUP(A24,Policías!$A$5:$C$63,3,FALSE()),""))</f>
        <v/>
      </c>
      <c r="D24" s="29" t="str">
        <f aca="false">IF(A24="","",INDEX(Cuadrante!$D$5:$AH$63,MATCH(A24,Cuadrante!$A$5:$A$63,0),MATCH(VLOOKUP($C$10,$A$6:$F$8,2,FALSE()),Cuadrante!$D$4:$AH$4,0)))</f>
        <v/>
      </c>
      <c r="E24" s="29" t="str">
        <f aca="false">IF(A24="","",IFERROR(INDEX(Cuadrante!$D$5:$AH$63,MATCH(A24,Cuadrante!$A$5:$A$63,0),MATCH(VLOOKUP($C$10,$A$6:$F$8,2,FALSE()),Cuadrante!$D$4:$AH$4,0)-1),"N/A"))</f>
        <v/>
      </c>
      <c r="F24" s="29" t="str">
        <f aca="false">IF(A24="","",IF(OR(AND(E24="N",VLOOKUP($C$10,$A$6:$F$8,3,FALSE())="Mañana"),AND(D24="N",VLOOKUP($C$10,$A$6:$F$8,3,FALSE())="Mañana")),"RESTRINGIDO (Noche a Mañana)","APTO"))</f>
        <v/>
      </c>
      <c r="G24" s="29" t="str">
        <f aca="false">IF(A24="","",SUMIF(Historico_Extras!$C$5:$C$104,A24,Historico_Extras!$F$5:$F$104))</f>
        <v/>
      </c>
      <c r="H24" s="29" t="str">
        <f aca="false">IF(A24="","",IF(OR(F24&lt;&gt;"APTO",D24="VAC",D24="BAJA",D24="AP",D24="HS"),99999,IF(D24="D",G24*1000+ROW(),50000+G24*1000+ROW())))</f>
        <v/>
      </c>
      <c r="I24" s="29" t="str">
        <f aca="false">IF(OR(A24="",H24=99999),"",RANK(H24,$H$14:$H$33,1))</f>
        <v/>
      </c>
      <c r="J24" s="30" t="str">
        <f aca="false">IF(A24="","",IF(OR(D24="VAC",D24="BAJA",D24="AP",D24="HS"),"NO DISPONIBLE ("&amp;D24&amp;")",IF(F24&lt;&gt;"APTO","RESTRINGIDO (Noche a Mañana)",IF(AND(I24&lt;&gt;"",I24&lt;=$G$10),IF(D24="D","¡ADJUDICADO LIBRE! (Plaza "&amp;I24&amp;")","¡ADJUDICADO DOBLANDO! (Plaza "&amp;I24&amp;")"),IF(D24="D","Inscrito Libre ("&amp;G24&amp;" ext)","Inscrito Doblado ("&amp;G24&amp;" ext)")))))</f>
        <v/>
      </c>
    </row>
    <row r="25" customFormat="false" ht="15" hidden="false" customHeight="false" outlineLevel="0" collapsed="false">
      <c r="A25" s="5"/>
      <c r="B25" s="28" t="str">
        <f aca="false">IF(A25="","",IFERROR(VLOOKUP(A25,Policías!$A$5:$B$63,2,FALSE()),""))</f>
        <v/>
      </c>
      <c r="C25" s="28" t="str">
        <f aca="false">IF(A25="","",IFERROR(VLOOKUP(A25,Policías!$A$5:$C$63,3,FALSE()),""))</f>
        <v/>
      </c>
      <c r="D25" s="29" t="str">
        <f aca="false">IF(A25="","",INDEX(Cuadrante!$D$5:$AH$63,MATCH(A25,Cuadrante!$A$5:$A$63,0),MATCH(VLOOKUP($C$10,$A$6:$F$8,2,FALSE()),Cuadrante!$D$4:$AH$4,0)))</f>
        <v/>
      </c>
      <c r="E25" s="29" t="str">
        <f aca="false">IF(A25="","",IFERROR(INDEX(Cuadrante!$D$5:$AH$63,MATCH(A25,Cuadrante!$A$5:$A$63,0),MATCH(VLOOKUP($C$10,$A$6:$F$8,2,FALSE()),Cuadrante!$D$4:$AH$4,0)-1),"N/A"))</f>
        <v/>
      </c>
      <c r="F25" s="29" t="str">
        <f aca="false">IF(A25="","",IF(OR(AND(E25="N",VLOOKUP($C$10,$A$6:$F$8,3,FALSE())="Mañana"),AND(D25="N",VLOOKUP($C$10,$A$6:$F$8,3,FALSE())="Mañana")),"RESTRINGIDO (Noche a Mañana)","APTO"))</f>
        <v/>
      </c>
      <c r="G25" s="29" t="str">
        <f aca="false">IF(A25="","",SUMIF(Historico_Extras!$C$5:$C$104,A25,Historico_Extras!$F$5:$F$104))</f>
        <v/>
      </c>
      <c r="H25" s="29" t="str">
        <f aca="false">IF(A25="","",IF(OR(F25&lt;&gt;"APTO",D25="VAC",D25="BAJA",D25="AP",D25="HS"),99999,IF(D25="D",G25*1000+ROW(),50000+G25*1000+ROW())))</f>
        <v/>
      </c>
      <c r="I25" s="29" t="str">
        <f aca="false">IF(OR(A25="",H25=99999),"",RANK(H25,$H$14:$H$33,1))</f>
        <v/>
      </c>
      <c r="J25" s="30" t="str">
        <f aca="false">IF(A25="","",IF(OR(D25="VAC",D25="BAJA",D25="AP",D25="HS"),"NO DISPONIBLE ("&amp;D25&amp;")",IF(F25&lt;&gt;"APTO","RESTRINGIDO (Noche a Mañana)",IF(AND(I25&lt;&gt;"",I25&lt;=$G$10),IF(D25="D","¡ADJUDICADO LIBRE! (Plaza "&amp;I25&amp;")","¡ADJUDICADO DOBLANDO! (Plaza "&amp;I25&amp;")"),IF(D25="D","Inscrito Libre ("&amp;G25&amp;" ext)","Inscrito Doblado ("&amp;G25&amp;" ext)")))))</f>
        <v/>
      </c>
    </row>
    <row r="26" customFormat="false" ht="15" hidden="false" customHeight="false" outlineLevel="0" collapsed="false">
      <c r="A26" s="5"/>
      <c r="B26" s="28" t="str">
        <f aca="false">IF(A26="","",IFERROR(VLOOKUP(A26,Policías!$A$5:$B$63,2,FALSE()),""))</f>
        <v/>
      </c>
      <c r="C26" s="28" t="str">
        <f aca="false">IF(A26="","",IFERROR(VLOOKUP(A26,Policías!$A$5:$C$63,3,FALSE()),""))</f>
        <v/>
      </c>
      <c r="D26" s="29" t="str">
        <f aca="false">IF(A26="","",INDEX(Cuadrante!$D$5:$AH$63,MATCH(A26,Cuadrante!$A$5:$A$63,0),MATCH(VLOOKUP($C$10,$A$6:$F$8,2,FALSE()),Cuadrante!$D$4:$AH$4,0)))</f>
        <v/>
      </c>
      <c r="E26" s="29" t="str">
        <f aca="false">IF(A26="","",IFERROR(INDEX(Cuadrante!$D$5:$AH$63,MATCH(A26,Cuadrante!$A$5:$A$63,0),MATCH(VLOOKUP($C$10,$A$6:$F$8,2,FALSE()),Cuadrante!$D$4:$AH$4,0)-1),"N/A"))</f>
        <v/>
      </c>
      <c r="F26" s="29" t="str">
        <f aca="false">IF(A26="","",IF(OR(AND(E26="N",VLOOKUP($C$10,$A$6:$F$8,3,FALSE())="Mañana"),AND(D26="N",VLOOKUP($C$10,$A$6:$F$8,3,FALSE())="Mañana")),"RESTRINGIDO (Noche a Mañana)","APTO"))</f>
        <v/>
      </c>
      <c r="G26" s="29" t="str">
        <f aca="false">IF(A26="","",SUMIF(Historico_Extras!$C$5:$C$104,A26,Historico_Extras!$F$5:$F$104))</f>
        <v/>
      </c>
      <c r="H26" s="29" t="str">
        <f aca="false">IF(A26="","",IF(OR(F26&lt;&gt;"APTO",D26="VAC",D26="BAJA",D26="AP",D26="HS"),99999,IF(D26="D",G26*1000+ROW(),50000+G26*1000+ROW())))</f>
        <v/>
      </c>
      <c r="I26" s="29" t="str">
        <f aca="false">IF(OR(A26="",H26=99999),"",RANK(H26,$H$14:$H$33,1))</f>
        <v/>
      </c>
      <c r="J26" s="30" t="str">
        <f aca="false">IF(A26="","",IF(OR(D26="VAC",D26="BAJA",D26="AP",D26="HS"),"NO DISPONIBLE ("&amp;D26&amp;")",IF(F26&lt;&gt;"APTO","RESTRINGIDO (Noche a Mañana)",IF(AND(I26&lt;&gt;"",I26&lt;=$G$10),IF(D26="D","¡ADJUDICADO LIBRE! (Plaza "&amp;I26&amp;")","¡ADJUDICADO DOBLANDO! (Plaza "&amp;I26&amp;")"),IF(D26="D","Inscrito Libre ("&amp;G26&amp;" ext)","Inscrito Doblado ("&amp;G26&amp;" ext)")))))</f>
        <v/>
      </c>
    </row>
    <row r="27" customFormat="false" ht="15" hidden="false" customHeight="false" outlineLevel="0" collapsed="false">
      <c r="A27" s="5"/>
      <c r="B27" s="28" t="str">
        <f aca="false">IF(A27="","",IFERROR(VLOOKUP(A27,Policías!$A$5:$B$63,2,FALSE()),""))</f>
        <v/>
      </c>
      <c r="C27" s="28" t="str">
        <f aca="false">IF(A27="","",IFERROR(VLOOKUP(A27,Policías!$A$5:$C$63,3,FALSE()),""))</f>
        <v/>
      </c>
      <c r="D27" s="29" t="str">
        <f aca="false">IF(A27="","",INDEX(Cuadrante!$D$5:$AH$63,MATCH(A27,Cuadrante!$A$5:$A$63,0),MATCH(VLOOKUP($C$10,$A$6:$F$8,2,FALSE()),Cuadrante!$D$4:$AH$4,0)))</f>
        <v/>
      </c>
      <c r="E27" s="29" t="str">
        <f aca="false">IF(A27="","",IFERROR(INDEX(Cuadrante!$D$5:$AH$63,MATCH(A27,Cuadrante!$A$5:$A$63,0),MATCH(VLOOKUP($C$10,$A$6:$F$8,2,FALSE()),Cuadrante!$D$4:$AH$4,0)-1),"N/A"))</f>
        <v/>
      </c>
      <c r="F27" s="29" t="str">
        <f aca="false">IF(A27="","",IF(OR(AND(E27="N",VLOOKUP($C$10,$A$6:$F$8,3,FALSE())="Mañana"),AND(D27="N",VLOOKUP($C$10,$A$6:$F$8,3,FALSE())="Mañana")),"RESTRINGIDO (Noche a Mañana)","APTO"))</f>
        <v/>
      </c>
      <c r="G27" s="29" t="str">
        <f aca="false">IF(A27="","",SUMIF(Historico_Extras!$C$5:$C$104,A27,Historico_Extras!$F$5:$F$104))</f>
        <v/>
      </c>
      <c r="H27" s="29" t="str">
        <f aca="false">IF(A27="","",IF(OR(F27&lt;&gt;"APTO",D27="VAC",D27="BAJA",D27="AP",D27="HS"),99999,IF(D27="D",G27*1000+ROW(),50000+G27*1000+ROW())))</f>
        <v/>
      </c>
      <c r="I27" s="29" t="str">
        <f aca="false">IF(OR(A27="",H27=99999),"",RANK(H27,$H$14:$H$33,1))</f>
        <v/>
      </c>
      <c r="J27" s="30" t="str">
        <f aca="false">IF(A27="","",IF(OR(D27="VAC",D27="BAJA",D27="AP",D27="HS"),"NO DISPONIBLE ("&amp;D27&amp;")",IF(F27&lt;&gt;"APTO","RESTRINGIDO (Noche a Mañana)",IF(AND(I27&lt;&gt;"",I27&lt;=$G$10),IF(D27="D","¡ADJUDICADO LIBRE! (Plaza "&amp;I27&amp;")","¡ADJUDICADO DOBLANDO! (Plaza "&amp;I27&amp;")"),IF(D27="D","Inscrito Libre ("&amp;G27&amp;" ext)","Inscrito Doblado ("&amp;G27&amp;" ext)")))))</f>
        <v/>
      </c>
    </row>
    <row r="28" customFormat="false" ht="15" hidden="false" customHeight="false" outlineLevel="0" collapsed="false">
      <c r="A28" s="5"/>
      <c r="B28" s="28" t="str">
        <f aca="false">IF(A28="","",IFERROR(VLOOKUP(A28,Policías!$A$5:$B$63,2,FALSE()),""))</f>
        <v/>
      </c>
      <c r="C28" s="28" t="str">
        <f aca="false">IF(A28="","",IFERROR(VLOOKUP(A28,Policías!$A$5:$C$63,3,FALSE()),""))</f>
        <v/>
      </c>
      <c r="D28" s="29" t="str">
        <f aca="false">IF(A28="","",INDEX(Cuadrante!$D$5:$AH$63,MATCH(A28,Cuadrante!$A$5:$A$63,0),MATCH(VLOOKUP($C$10,$A$6:$F$8,2,FALSE()),Cuadrante!$D$4:$AH$4,0)))</f>
        <v/>
      </c>
      <c r="E28" s="29" t="str">
        <f aca="false">IF(A28="","",IFERROR(INDEX(Cuadrante!$D$5:$AH$63,MATCH(A28,Cuadrante!$A$5:$A$63,0),MATCH(VLOOKUP($C$10,$A$6:$F$8,2,FALSE()),Cuadrante!$D$4:$AH$4,0)-1),"N/A"))</f>
        <v/>
      </c>
      <c r="F28" s="29" t="str">
        <f aca="false">IF(A28="","",IF(OR(AND(E28="N",VLOOKUP($C$10,$A$6:$F$8,3,FALSE())="Mañana"),AND(D28="N",VLOOKUP($C$10,$A$6:$F$8,3,FALSE())="Mañana")),"RESTRINGIDO (Noche a Mañana)","APTO"))</f>
        <v/>
      </c>
      <c r="G28" s="29" t="str">
        <f aca="false">IF(A28="","",SUMIF(Historico_Extras!$C$5:$C$104,A28,Historico_Extras!$F$5:$F$104))</f>
        <v/>
      </c>
      <c r="H28" s="29" t="str">
        <f aca="false">IF(A28="","",IF(OR(F28&lt;&gt;"APTO",D28="VAC",D28="BAJA",D28="AP",D28="HS"),99999,IF(D28="D",G28*1000+ROW(),50000+G28*1000+ROW())))</f>
        <v/>
      </c>
      <c r="I28" s="29" t="str">
        <f aca="false">IF(OR(A28="",H28=99999),"",RANK(H28,$H$14:$H$33,1))</f>
        <v/>
      </c>
      <c r="J28" s="30" t="str">
        <f aca="false">IF(A28="","",IF(OR(D28="VAC",D28="BAJA",D28="AP",D28="HS"),"NO DISPONIBLE ("&amp;D28&amp;")",IF(F28&lt;&gt;"APTO","RESTRINGIDO (Noche a Mañana)",IF(AND(I28&lt;&gt;"",I28&lt;=$G$10),IF(D28="D","¡ADJUDICADO LIBRE! (Plaza "&amp;I28&amp;")","¡ADJUDICADO DOBLANDO! (Plaza "&amp;I28&amp;")"),IF(D28="D","Inscrito Libre ("&amp;G28&amp;" ext)","Inscrito Doblado ("&amp;G28&amp;" ext)")))))</f>
        <v/>
      </c>
    </row>
    <row r="29" customFormat="false" ht="15" hidden="false" customHeight="false" outlineLevel="0" collapsed="false">
      <c r="A29" s="5"/>
      <c r="B29" s="28" t="str">
        <f aca="false">IF(A29="","",IFERROR(VLOOKUP(A29,Policías!$A$5:$B$63,2,FALSE()),""))</f>
        <v/>
      </c>
      <c r="C29" s="28" t="str">
        <f aca="false">IF(A29="","",IFERROR(VLOOKUP(A29,Policías!$A$5:$C$63,3,FALSE()),""))</f>
        <v/>
      </c>
      <c r="D29" s="29" t="str">
        <f aca="false">IF(A29="","",INDEX(Cuadrante!$D$5:$AH$63,MATCH(A29,Cuadrante!$A$5:$A$63,0),MATCH(VLOOKUP($C$10,$A$6:$F$8,2,FALSE()),Cuadrante!$D$4:$AH$4,0)))</f>
        <v/>
      </c>
      <c r="E29" s="29" t="str">
        <f aca="false">IF(A29="","",IFERROR(INDEX(Cuadrante!$D$5:$AH$63,MATCH(A29,Cuadrante!$A$5:$A$63,0),MATCH(VLOOKUP($C$10,$A$6:$F$8,2,FALSE()),Cuadrante!$D$4:$AH$4,0)-1),"N/A"))</f>
        <v/>
      </c>
      <c r="F29" s="29" t="str">
        <f aca="false">IF(A29="","",IF(OR(AND(E29="N",VLOOKUP($C$10,$A$6:$F$8,3,FALSE())="Mañana"),AND(D29="N",VLOOKUP($C$10,$A$6:$F$8,3,FALSE())="Mañana")),"RESTRINGIDO (Noche a Mañana)","APTO"))</f>
        <v/>
      </c>
      <c r="G29" s="29" t="str">
        <f aca="false">IF(A29="","",SUMIF(Historico_Extras!$C$5:$C$104,A29,Historico_Extras!$F$5:$F$104))</f>
        <v/>
      </c>
      <c r="H29" s="29" t="str">
        <f aca="false">IF(A29="","",IF(OR(F29&lt;&gt;"APTO",D29="VAC",D29="BAJA",D29="AP",D29="HS"),99999,IF(D29="D",G29*1000+ROW(),50000+G29*1000+ROW())))</f>
        <v/>
      </c>
      <c r="I29" s="29" t="str">
        <f aca="false">IF(OR(A29="",H29=99999),"",RANK(H29,$H$14:$H$33,1))</f>
        <v/>
      </c>
      <c r="J29" s="30" t="str">
        <f aca="false">IF(A29="","",IF(OR(D29="VAC",D29="BAJA",D29="AP",D29="HS"),"NO DISPONIBLE ("&amp;D29&amp;")",IF(F29&lt;&gt;"APTO","RESTRINGIDO (Noche a Mañana)",IF(AND(I29&lt;&gt;"",I29&lt;=$G$10),IF(D29="D","¡ADJUDICADO LIBRE! (Plaza "&amp;I29&amp;")","¡ADJUDICADO DOBLANDO! (Plaza "&amp;I29&amp;")"),IF(D29="D","Inscrito Libre ("&amp;G29&amp;" ext)","Inscrito Doblado ("&amp;G29&amp;" ext)")))))</f>
        <v/>
      </c>
    </row>
    <row r="30" customFormat="false" ht="15" hidden="false" customHeight="false" outlineLevel="0" collapsed="false">
      <c r="A30" s="5"/>
      <c r="B30" s="28" t="str">
        <f aca="false">IF(A30="","",IFERROR(VLOOKUP(A30,Policías!$A$5:$B$63,2,FALSE()),""))</f>
        <v/>
      </c>
      <c r="C30" s="28" t="str">
        <f aca="false">IF(A30="","",IFERROR(VLOOKUP(A30,Policías!$A$5:$C$63,3,FALSE()),""))</f>
        <v/>
      </c>
      <c r="D30" s="29" t="str">
        <f aca="false">IF(A30="","",INDEX(Cuadrante!$D$5:$AH$63,MATCH(A30,Cuadrante!$A$5:$A$63,0),MATCH(VLOOKUP($C$10,$A$6:$F$8,2,FALSE()),Cuadrante!$D$4:$AH$4,0)))</f>
        <v/>
      </c>
      <c r="E30" s="29" t="str">
        <f aca="false">IF(A30="","",IFERROR(INDEX(Cuadrante!$D$5:$AH$63,MATCH(A30,Cuadrante!$A$5:$A$63,0),MATCH(VLOOKUP($C$10,$A$6:$F$8,2,FALSE()),Cuadrante!$D$4:$AH$4,0)-1),"N/A"))</f>
        <v/>
      </c>
      <c r="F30" s="29" t="str">
        <f aca="false">IF(A30="","",IF(OR(AND(E30="N",VLOOKUP($C$10,$A$6:$F$8,3,FALSE())="Mañana"),AND(D30="N",VLOOKUP($C$10,$A$6:$F$8,3,FALSE())="Mañana")),"RESTRINGIDO (Noche a Mañana)","APTO"))</f>
        <v/>
      </c>
      <c r="G30" s="29" t="str">
        <f aca="false">IF(A30="","",SUMIF(Historico_Extras!$C$5:$C$104,A30,Historico_Extras!$F$5:$F$104))</f>
        <v/>
      </c>
      <c r="H30" s="29" t="str">
        <f aca="false">IF(A30="","",IF(OR(F30&lt;&gt;"APTO",D30="VAC",D30="BAJA",D30="AP",D30="HS"),99999,IF(D30="D",G30*1000+ROW(),50000+G30*1000+ROW())))</f>
        <v/>
      </c>
      <c r="I30" s="29" t="str">
        <f aca="false">IF(OR(A30="",H30=99999),"",RANK(H30,$H$14:$H$33,1))</f>
        <v/>
      </c>
      <c r="J30" s="30" t="str">
        <f aca="false">IF(A30="","",IF(OR(D30="VAC",D30="BAJA",D30="AP",D30="HS"),"NO DISPONIBLE ("&amp;D30&amp;")",IF(F30&lt;&gt;"APTO","RESTRINGIDO (Noche a Mañana)",IF(AND(I30&lt;&gt;"",I30&lt;=$G$10),IF(D30="D","¡ADJUDICADO LIBRE! (Plaza "&amp;I30&amp;")","¡ADJUDICADO DOBLANDO! (Plaza "&amp;I30&amp;")"),IF(D30="D","Inscrito Libre ("&amp;G30&amp;" ext)","Inscrito Doblado ("&amp;G30&amp;" ext)")))))</f>
        <v/>
      </c>
    </row>
    <row r="31" customFormat="false" ht="15" hidden="false" customHeight="false" outlineLevel="0" collapsed="false">
      <c r="A31" s="5"/>
      <c r="B31" s="28" t="str">
        <f aca="false">IF(A31="","",IFERROR(VLOOKUP(A31,Policías!$A$5:$B$63,2,FALSE()),""))</f>
        <v/>
      </c>
      <c r="C31" s="28" t="str">
        <f aca="false">IF(A31="","",IFERROR(VLOOKUP(A31,Policías!$A$5:$C$63,3,FALSE()),""))</f>
        <v/>
      </c>
      <c r="D31" s="29" t="str">
        <f aca="false">IF(A31="","",INDEX(Cuadrante!$D$5:$AH$63,MATCH(A31,Cuadrante!$A$5:$A$63,0),MATCH(VLOOKUP($C$10,$A$6:$F$8,2,FALSE()),Cuadrante!$D$4:$AH$4,0)))</f>
        <v/>
      </c>
      <c r="E31" s="29" t="str">
        <f aca="false">IF(A31="","",IFERROR(INDEX(Cuadrante!$D$5:$AH$63,MATCH(A31,Cuadrante!$A$5:$A$63,0),MATCH(VLOOKUP($C$10,$A$6:$F$8,2,FALSE()),Cuadrante!$D$4:$AH$4,0)-1),"N/A"))</f>
        <v/>
      </c>
      <c r="F31" s="29" t="str">
        <f aca="false">IF(A31="","",IF(OR(AND(E31="N",VLOOKUP($C$10,$A$6:$F$8,3,FALSE())="Mañana"),AND(D31="N",VLOOKUP($C$10,$A$6:$F$8,3,FALSE())="Mañana")),"RESTRINGIDO (Noche a Mañana)","APTO"))</f>
        <v/>
      </c>
      <c r="G31" s="29" t="str">
        <f aca="false">IF(A31="","",SUMIF(Historico_Extras!$C$5:$C$104,A31,Historico_Extras!$F$5:$F$104))</f>
        <v/>
      </c>
      <c r="H31" s="29" t="str">
        <f aca="false">IF(A31="","",IF(OR(F31&lt;&gt;"APTO",D31="VAC",D31="BAJA",D31="AP",D31="HS"),99999,IF(D31="D",G31*1000+ROW(),50000+G31*1000+ROW())))</f>
        <v/>
      </c>
      <c r="I31" s="29" t="str">
        <f aca="false">IF(OR(A31="",H31=99999),"",RANK(H31,$H$14:$H$33,1))</f>
        <v/>
      </c>
      <c r="J31" s="30" t="str">
        <f aca="false">IF(A31="","",IF(OR(D31="VAC",D31="BAJA",D31="AP",D31="HS"),"NO DISPONIBLE ("&amp;D31&amp;")",IF(F31&lt;&gt;"APTO","RESTRINGIDO (Noche a Mañana)",IF(AND(I31&lt;&gt;"",I31&lt;=$G$10),IF(D31="D","¡ADJUDICADO LIBRE! (Plaza "&amp;I31&amp;")","¡ADJUDICADO DOBLANDO! (Plaza "&amp;I31&amp;")"),IF(D31="D","Inscrito Libre ("&amp;G31&amp;" ext)","Inscrito Doblado ("&amp;G31&amp;" ext)")))))</f>
        <v/>
      </c>
    </row>
    <row r="32" customFormat="false" ht="15" hidden="false" customHeight="false" outlineLevel="0" collapsed="false">
      <c r="A32" s="5"/>
      <c r="B32" s="28" t="str">
        <f aca="false">IF(A32="","",IFERROR(VLOOKUP(A32,Policías!$A$5:$B$63,2,FALSE()),""))</f>
        <v/>
      </c>
      <c r="C32" s="28" t="str">
        <f aca="false">IF(A32="","",IFERROR(VLOOKUP(A32,Policías!$A$5:$C$63,3,FALSE()),""))</f>
        <v/>
      </c>
      <c r="D32" s="29" t="str">
        <f aca="false">IF(A32="","",INDEX(Cuadrante!$D$5:$AH$63,MATCH(A32,Cuadrante!$A$5:$A$63,0),MATCH(VLOOKUP($C$10,$A$6:$F$8,2,FALSE()),Cuadrante!$D$4:$AH$4,0)))</f>
        <v/>
      </c>
      <c r="E32" s="29" t="str">
        <f aca="false">IF(A32="","",IFERROR(INDEX(Cuadrante!$D$5:$AH$63,MATCH(A32,Cuadrante!$A$5:$A$63,0),MATCH(VLOOKUP($C$10,$A$6:$F$8,2,FALSE()),Cuadrante!$D$4:$AH$4,0)-1),"N/A"))</f>
        <v/>
      </c>
      <c r="F32" s="29" t="str">
        <f aca="false">IF(A32="","",IF(OR(AND(E32="N",VLOOKUP($C$10,$A$6:$F$8,3,FALSE())="Mañana"),AND(D32="N",VLOOKUP($C$10,$A$6:$F$8,3,FALSE())="Mañana")),"RESTRINGIDO (Noche a Mañana)","APTO"))</f>
        <v/>
      </c>
      <c r="G32" s="29" t="str">
        <f aca="false">IF(A32="","",SUMIF(Historico_Extras!$C$5:$C$104,A32,Historico_Extras!$F$5:$F$104))</f>
        <v/>
      </c>
      <c r="H32" s="29" t="str">
        <f aca="false">IF(A32="","",IF(OR(F32&lt;&gt;"APTO",D32="VAC",D32="BAJA",D32="AP",D32="HS"),99999,IF(D32="D",G32*1000+ROW(),50000+G32*1000+ROW())))</f>
        <v/>
      </c>
      <c r="I32" s="29" t="str">
        <f aca="false">IF(OR(A32="",H32=99999),"",RANK(H32,$H$14:$H$33,1))</f>
        <v/>
      </c>
      <c r="J32" s="30" t="str">
        <f aca="false">IF(A32="","",IF(OR(D32="VAC",D32="BAJA",D32="AP",D32="HS"),"NO DISPONIBLE ("&amp;D32&amp;")",IF(F32&lt;&gt;"APTO","RESTRINGIDO (Noche a Mañana)",IF(AND(I32&lt;&gt;"",I32&lt;=$G$10),IF(D32="D","¡ADJUDICADO LIBRE! (Plaza "&amp;I32&amp;")","¡ADJUDICADO DOBLANDO! (Plaza "&amp;I32&amp;")"),IF(D32="D","Inscrito Libre ("&amp;G32&amp;" ext)","Inscrito Doblado ("&amp;G32&amp;" ext)")))))</f>
        <v/>
      </c>
    </row>
    <row r="33" customFormat="false" ht="15" hidden="false" customHeight="false" outlineLevel="0" collapsed="false">
      <c r="A33" s="5"/>
      <c r="B33" s="28" t="str">
        <f aca="false">IF(A33="","",IFERROR(VLOOKUP(A33,Policías!$A$5:$B$63,2,FALSE()),""))</f>
        <v/>
      </c>
      <c r="C33" s="28" t="str">
        <f aca="false">IF(A33="","",IFERROR(VLOOKUP(A33,Policías!$A$5:$C$63,3,FALSE()),""))</f>
        <v/>
      </c>
      <c r="D33" s="29" t="str">
        <f aca="false">IF(A33="","",INDEX(Cuadrante!$D$5:$AH$63,MATCH(A33,Cuadrante!$A$5:$A$63,0),MATCH(VLOOKUP($C$10,$A$6:$F$8,2,FALSE()),Cuadrante!$D$4:$AH$4,0)))</f>
        <v/>
      </c>
      <c r="E33" s="29" t="str">
        <f aca="false">IF(A33="","",IFERROR(INDEX(Cuadrante!$D$5:$AH$63,MATCH(A33,Cuadrante!$A$5:$A$63,0),MATCH(VLOOKUP($C$10,$A$6:$F$8,2,FALSE()),Cuadrante!$D$4:$AH$4,0)-1),"N/A"))</f>
        <v/>
      </c>
      <c r="F33" s="29" t="str">
        <f aca="false">IF(A33="","",IF(OR(AND(E33="N",VLOOKUP($C$10,$A$6:$F$8,3,FALSE())="Mañana"),AND(D33="N",VLOOKUP($C$10,$A$6:$F$8,3,FALSE())="Mañana")),"RESTRINGIDO (Noche a Mañana)","APTO"))</f>
        <v/>
      </c>
      <c r="G33" s="29" t="str">
        <f aca="false">IF(A33="","",SUMIF(Historico_Extras!$C$5:$C$104,A33,Historico_Extras!$F$5:$F$104))</f>
        <v/>
      </c>
      <c r="H33" s="29" t="str">
        <f aca="false">IF(A33="","",IF(OR(F33&lt;&gt;"APTO",D33="VAC",D33="BAJA",D33="AP",D33="HS"),99999,IF(D33="D",G33*1000+ROW(),50000+G33*1000+ROW())))</f>
        <v/>
      </c>
      <c r="I33" s="29" t="str">
        <f aca="false">IF(OR(A33="",H33=99999),"",RANK(H33,$H$14:$H$33,1))</f>
        <v/>
      </c>
      <c r="J33" s="30" t="str">
        <f aca="false">IF(A33="","",IF(OR(D33="VAC",D33="BAJA",D33="AP",D33="HS"),"NO DISPONIBLE ("&amp;D33&amp;")",IF(F33&lt;&gt;"APTO","RESTRINGIDO (Noche a Mañana)",IF(AND(I33&lt;&gt;"",I33&lt;=$G$10),IF(D33="D","¡ADJUDICADO LIBRE! (Plaza "&amp;I33&amp;")","¡ADJUDICADO DOBLANDO! (Plaza "&amp;I33&amp;")"),IF(D33="D","Inscrito Libre ("&amp;G33&amp;" ext)","Inscrito Doblado ("&amp;G33&amp;" ext)")))))</f>
        <v/>
      </c>
    </row>
  </sheetData>
  <mergeCells count="2">
    <mergeCell ref="A4:F4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42"/>
    <col collapsed="false" customWidth="true" hidden="false" outlineLevel="0" max="2" min="2" style="1" width="35.61"/>
    <col collapsed="false" customWidth="true" hidden="false" outlineLevel="0" max="3" min="3" style="1" width="26.4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A4" s="31" t="s">
        <v>195</v>
      </c>
      <c r="B4" s="31"/>
      <c r="C4" s="31"/>
    </row>
    <row r="5" customFormat="false" ht="13.8" hidden="false" customHeight="false" outlineLevel="0" collapsed="false">
      <c r="A5" s="4" t="s">
        <v>2</v>
      </c>
      <c r="B5" s="17" t="s">
        <v>196</v>
      </c>
      <c r="C5" s="4" t="s">
        <v>197</v>
      </c>
    </row>
    <row r="6" customFormat="false" ht="13.8" hidden="false" customHeight="false" outlineLevel="0" collapsed="false">
      <c r="A6" s="5" t="n">
        <f aca="false">Policías!A5</f>
        <v>101</v>
      </c>
      <c r="B6" s="6" t="str">
        <f aca="false">Policías!B5</f>
        <v>Francisca </v>
      </c>
      <c r="C6" s="30" t="n">
        <f aca="false">SUMIF(Historico_Extras!$C$5:$C$104,A6,Historico_Extras!$F$5:$F$104)</f>
        <v>2</v>
      </c>
    </row>
    <row r="7" customFormat="false" ht="13.8" hidden="false" customHeight="false" outlineLevel="0" collapsed="false">
      <c r="A7" s="5" t="n">
        <f aca="false">Policías!A6</f>
        <v>102</v>
      </c>
      <c r="B7" s="6" t="str">
        <f aca="false">Policías!B6</f>
        <v>Manuel </v>
      </c>
      <c r="C7" s="30" t="n">
        <f aca="false">SUMIF(Historico_Extras!$C$5:$C$104,A7,Historico_Extras!$F$5:$F$104)</f>
        <v>0</v>
      </c>
    </row>
    <row r="8" customFormat="false" ht="13.8" hidden="false" customHeight="false" outlineLevel="0" collapsed="false">
      <c r="A8" s="5" t="n">
        <f aca="false">Policías!A7</f>
        <v>103</v>
      </c>
      <c r="B8" s="6" t="str">
        <f aca="false">Policías!B7</f>
        <v>Juan</v>
      </c>
      <c r="C8" s="30" t="n">
        <f aca="false">SUMIF(Historico_Extras!$C$5:$C$104,A8,Historico_Extras!$F$5:$F$104)</f>
        <v>1</v>
      </c>
    </row>
    <row r="9" customFormat="false" ht="13.8" hidden="false" customHeight="false" outlineLevel="0" collapsed="false">
      <c r="A9" s="5" t="n">
        <f aca="false">Policías!A8</f>
        <v>104</v>
      </c>
      <c r="B9" s="6" t="str">
        <f aca="false">Policías!B8</f>
        <v>Diego</v>
      </c>
      <c r="C9" s="30" t="n">
        <f aca="false">SUMIF(Historico_Extras!$C$5:$C$104,A9,Historico_Extras!$F$5:$F$104)</f>
        <v>0</v>
      </c>
    </row>
    <row r="10" customFormat="false" ht="13.8" hidden="false" customHeight="false" outlineLevel="0" collapsed="false">
      <c r="A10" s="5" t="n">
        <f aca="false">Policías!A9</f>
        <v>105</v>
      </c>
      <c r="B10" s="6" t="str">
        <f aca="false">Policías!B9</f>
        <v>Adrián</v>
      </c>
      <c r="C10" s="30" t="n">
        <f aca="false">SUMIF(Historico_Extras!$C$5:$C$104,A10,Historico_Extras!$F$5:$F$104)</f>
        <v>0</v>
      </c>
    </row>
    <row r="11" customFormat="false" ht="13.8" hidden="false" customHeight="false" outlineLevel="0" collapsed="false">
      <c r="A11" s="5" t="n">
        <f aca="false">Policías!A10</f>
        <v>106</v>
      </c>
      <c r="B11" s="6" t="str">
        <f aca="false">Policías!B10</f>
        <v>Juan Rafael </v>
      </c>
      <c r="C11" s="30" t="n">
        <f aca="false">SUMIF(Historico_Extras!$C$5:$C$104,A11,Historico_Extras!$F$5:$F$104)</f>
        <v>0</v>
      </c>
    </row>
    <row r="12" customFormat="false" ht="13.8" hidden="false" customHeight="false" outlineLevel="0" collapsed="false">
      <c r="A12" s="5" t="n">
        <f aca="false">Policías!A11</f>
        <v>107</v>
      </c>
      <c r="B12" s="6" t="str">
        <f aca="false">Policías!B11</f>
        <v>Matías </v>
      </c>
      <c r="C12" s="30" t="n">
        <f aca="false">SUMIF(Historico_Extras!$C$5:$C$104,A12,Historico_Extras!$F$5:$F$104)</f>
        <v>0</v>
      </c>
    </row>
    <row r="13" customFormat="false" ht="13.8" hidden="false" customHeight="false" outlineLevel="0" collapsed="false">
      <c r="A13" s="5" t="n">
        <f aca="false">Policías!A12</f>
        <v>108</v>
      </c>
      <c r="B13" s="6" t="str">
        <f aca="false">Policías!B12</f>
        <v>Manuel 2</v>
      </c>
      <c r="C13" s="30" t="n">
        <f aca="false">SUMIF(Historico_Extras!$C$5:$C$104,A13,Historico_Extras!$F$5:$F$104)</f>
        <v>0</v>
      </c>
    </row>
    <row r="14" customFormat="false" ht="13.8" hidden="false" customHeight="false" outlineLevel="0" collapsed="false">
      <c r="A14" s="5" t="n">
        <f aca="false">Policías!A13</f>
        <v>109</v>
      </c>
      <c r="B14" s="6" t="str">
        <f aca="false">Policías!B13</f>
        <v>Manuel 3</v>
      </c>
      <c r="C14" s="30" t="n">
        <f aca="false">SUMIF(Historico_Extras!$C$5:$C$104,A14,Historico_Extras!$F$5:$F$104)</f>
        <v>0</v>
      </c>
    </row>
    <row r="15" customFormat="false" ht="13.8" hidden="false" customHeight="false" outlineLevel="0" collapsed="false">
      <c r="A15" s="5" t="n">
        <f aca="false">Policías!A14</f>
        <v>110</v>
      </c>
      <c r="B15" s="6" t="str">
        <f aca="false">Policías!B14</f>
        <v>Julián </v>
      </c>
      <c r="C15" s="30" t="n">
        <f aca="false">SUMIF(Historico_Extras!$C$5:$C$104,A15,Historico_Extras!$F$5:$F$104)</f>
        <v>0</v>
      </c>
    </row>
    <row r="16" customFormat="false" ht="13.8" hidden="false" customHeight="false" outlineLevel="0" collapsed="false">
      <c r="A16" s="5" t="n">
        <f aca="false">Policías!A15</f>
        <v>111</v>
      </c>
      <c r="B16" s="6" t="str">
        <f aca="false">Policías!B15</f>
        <v>Rocío </v>
      </c>
      <c r="C16" s="30" t="n">
        <f aca="false">SUMIF(Historico_Extras!$C$5:$C$104,A16,Historico_Extras!$F$5:$F$104)</f>
        <v>0</v>
      </c>
    </row>
    <row r="17" customFormat="false" ht="13.8" hidden="false" customHeight="false" outlineLevel="0" collapsed="false">
      <c r="A17" s="5" t="n">
        <f aca="false">Policías!A16</f>
        <v>112</v>
      </c>
      <c r="B17" s="6" t="str">
        <f aca="false">Policías!B16</f>
        <v>Juan Jesús </v>
      </c>
      <c r="C17" s="30" t="n">
        <f aca="false">SUMIF(Historico_Extras!$C$5:$C$104,A17,Historico_Extras!$F$5:$F$104)</f>
        <v>0</v>
      </c>
    </row>
    <row r="18" customFormat="false" ht="13.8" hidden="false" customHeight="false" outlineLevel="0" collapsed="false">
      <c r="A18" s="5" t="n">
        <f aca="false">Policías!A17</f>
        <v>113</v>
      </c>
      <c r="B18" s="6" t="str">
        <f aca="false">Policías!B17</f>
        <v>Jorge</v>
      </c>
      <c r="C18" s="30" t="n">
        <f aca="false">SUMIF(Historico_Extras!$C$5:$C$104,A18,Historico_Extras!$F$5:$F$104)</f>
        <v>0</v>
      </c>
    </row>
    <row r="19" customFormat="false" ht="13.8" hidden="false" customHeight="false" outlineLevel="0" collapsed="false">
      <c r="A19" s="5" t="n">
        <f aca="false">Policías!A18</f>
        <v>114</v>
      </c>
      <c r="B19" s="6" t="str">
        <f aca="false">Policías!B18</f>
        <v>Maria José </v>
      </c>
      <c r="C19" s="30" t="n">
        <f aca="false">SUMIF(Historico_Extras!$C$5:$C$104,A19,Historico_Extras!$F$5:$F$104)</f>
        <v>0</v>
      </c>
    </row>
    <row r="20" customFormat="false" ht="13.8" hidden="false" customHeight="false" outlineLevel="0" collapsed="false">
      <c r="A20" s="5" t="n">
        <f aca="false">Policías!A19</f>
        <v>115</v>
      </c>
      <c r="B20" s="6" t="str">
        <f aca="false">Policías!B19</f>
        <v>Martín Francisco </v>
      </c>
      <c r="C20" s="30" t="n">
        <f aca="false">SUMIF(Historico_Extras!$C$5:$C$104,A20,Historico_Extras!$F$5:$F$104)</f>
        <v>0</v>
      </c>
    </row>
    <row r="21" customFormat="false" ht="13.8" hidden="false" customHeight="false" outlineLevel="0" collapsed="false">
      <c r="A21" s="5" t="n">
        <f aca="false">Policías!A20</f>
        <v>116</v>
      </c>
      <c r="B21" s="6" t="str">
        <f aca="false">Policías!B20</f>
        <v>Bartolomé </v>
      </c>
      <c r="C21" s="30" t="n">
        <f aca="false">SUMIF(Historico_Extras!$C$5:$C$104,A21,Historico_Extras!$F$5:$F$104)</f>
        <v>0</v>
      </c>
    </row>
    <row r="22" customFormat="false" ht="13.8" hidden="false" customHeight="false" outlineLevel="0" collapsed="false">
      <c r="A22" s="5" t="n">
        <f aca="false">Policías!A21</f>
        <v>117</v>
      </c>
      <c r="B22" s="6" t="str">
        <f aca="false">Policías!B21</f>
        <v>Miguel Ángel </v>
      </c>
      <c r="C22" s="30" t="n">
        <f aca="false">SUMIF(Historico_Extras!$C$5:$C$104,A22,Historico_Extras!$F$5:$F$104)</f>
        <v>0</v>
      </c>
    </row>
    <row r="23" customFormat="false" ht="13.8" hidden="false" customHeight="false" outlineLevel="0" collapsed="false">
      <c r="A23" s="5" t="n">
        <f aca="false">Policías!A22</f>
        <v>118</v>
      </c>
      <c r="B23" s="6" t="str">
        <f aca="false">Policías!B22</f>
        <v>José </v>
      </c>
      <c r="C23" s="30" t="n">
        <f aca="false">SUMIF(Historico_Extras!$C$5:$C$104,A23,Historico_Extras!$F$5:$F$104)</f>
        <v>0</v>
      </c>
    </row>
    <row r="24" customFormat="false" ht="13.8" hidden="false" customHeight="false" outlineLevel="0" collapsed="false">
      <c r="A24" s="5" t="n">
        <f aca="false">Policías!A23</f>
        <v>119</v>
      </c>
      <c r="B24" s="6" t="str">
        <f aca="false">Policías!B23</f>
        <v>Francisco José </v>
      </c>
      <c r="C24" s="30" t="n">
        <f aca="false">SUMIF(Historico_Extras!$C$5:$C$104,A24,Historico_Extras!$F$5:$F$104)</f>
        <v>0</v>
      </c>
    </row>
    <row r="25" customFormat="false" ht="13.8" hidden="false" customHeight="false" outlineLevel="0" collapsed="false">
      <c r="A25" s="5" t="n">
        <f aca="false">Policías!A24</f>
        <v>120</v>
      </c>
      <c r="B25" s="6" t="str">
        <f aca="false">Policías!B24</f>
        <v>Jose Antonio </v>
      </c>
      <c r="C25" s="30" t="n">
        <f aca="false">SUMIF(Historico_Extras!$C$5:$C$104,A25,Historico_Extras!$F$5:$F$104)</f>
        <v>0</v>
      </c>
    </row>
    <row r="26" customFormat="false" ht="13.8" hidden="false" customHeight="false" outlineLevel="0" collapsed="false">
      <c r="A26" s="5" t="n">
        <f aca="false">Policías!A25</f>
        <v>121</v>
      </c>
      <c r="B26" s="6" t="str">
        <f aca="false">Policías!B25</f>
        <v>De la Torre </v>
      </c>
      <c r="C26" s="30" t="n">
        <f aca="false">SUMIF(Historico_Extras!$C$5:$C$104,A26,Historico_Extras!$F$5:$F$104)</f>
        <v>0</v>
      </c>
    </row>
    <row r="27" customFormat="false" ht="13.8" hidden="false" customHeight="false" outlineLevel="0" collapsed="false">
      <c r="A27" s="5" t="n">
        <f aca="false">Policías!A26</f>
        <v>122</v>
      </c>
      <c r="B27" s="6" t="str">
        <f aca="false">Policías!B26</f>
        <v>Bartolomé 2</v>
      </c>
      <c r="C27" s="30" t="n">
        <f aca="false">SUMIF(Historico_Extras!$C$5:$C$104,A27,Historico_Extras!$F$5:$F$104)</f>
        <v>0</v>
      </c>
    </row>
    <row r="28" customFormat="false" ht="13.8" hidden="false" customHeight="false" outlineLevel="0" collapsed="false">
      <c r="A28" s="5" t="n">
        <f aca="false">Policías!A27</f>
        <v>123</v>
      </c>
      <c r="B28" s="6" t="str">
        <f aca="false">Policías!B27</f>
        <v>Pedro </v>
      </c>
      <c r="C28" s="30" t="n">
        <f aca="false">SUMIF(Historico_Extras!$C$5:$C$104,A28,Historico_Extras!$F$5:$F$104)</f>
        <v>0</v>
      </c>
    </row>
    <row r="29" customFormat="false" ht="13.8" hidden="false" customHeight="false" outlineLevel="0" collapsed="false">
      <c r="A29" s="5" t="n">
        <f aca="false">Policías!A28</f>
        <v>124</v>
      </c>
      <c r="B29" s="6" t="str">
        <f aca="false">Policías!B28</f>
        <v>José María</v>
      </c>
      <c r="C29" s="30" t="n">
        <f aca="false">SUMIF(Historico_Extras!$C$5:$C$104,A29,Historico_Extras!$F$5:$F$104)</f>
        <v>0</v>
      </c>
    </row>
    <row r="30" customFormat="false" ht="13.8" hidden="false" customHeight="false" outlineLevel="0" collapsed="false">
      <c r="A30" s="5" t="n">
        <f aca="false">Policías!A29</f>
        <v>125</v>
      </c>
      <c r="B30" s="6" t="str">
        <f aca="false">Policías!B29</f>
        <v>Antonio Manuel</v>
      </c>
      <c r="C30" s="30" t="n">
        <f aca="false">SUMIF(Historico_Extras!$C$5:$C$104,A30,Historico_Extras!$F$5:$F$104)</f>
        <v>0</v>
      </c>
    </row>
    <row r="31" customFormat="false" ht="13.8" hidden="false" customHeight="false" outlineLevel="0" collapsed="false">
      <c r="A31" s="5" t="n">
        <f aca="false">Policías!A30</f>
        <v>126</v>
      </c>
      <c r="B31" s="6" t="str">
        <f aca="false">Policías!B30</f>
        <v>Daniel </v>
      </c>
      <c r="C31" s="30" t="n">
        <f aca="false">SUMIF(Historico_Extras!$C$5:$C$104,A31,Historico_Extras!$F$5:$F$104)</f>
        <v>0</v>
      </c>
    </row>
    <row r="32" customFormat="false" ht="13.8" hidden="false" customHeight="false" outlineLevel="0" collapsed="false">
      <c r="A32" s="5" t="n">
        <f aca="false">Policías!A31</f>
        <v>127</v>
      </c>
      <c r="B32" s="6" t="str">
        <f aca="false">Policías!B31</f>
        <v>Marian</v>
      </c>
      <c r="C32" s="30" t="n">
        <f aca="false">SUMIF(Historico_Extras!$C$5:$C$104,A32,Historico_Extras!$F$5:$F$104)</f>
        <v>0</v>
      </c>
    </row>
    <row r="33" customFormat="false" ht="13.8" hidden="false" customHeight="false" outlineLevel="0" collapsed="false">
      <c r="A33" s="5" t="n">
        <f aca="false">Policías!A32</f>
        <v>128</v>
      </c>
      <c r="B33" s="6" t="str">
        <f aca="false">Policías!B32</f>
        <v>Concepción </v>
      </c>
      <c r="C33" s="30" t="n">
        <f aca="false">SUMIF(Historico_Extras!$C$5:$C$104,A33,Historico_Extras!$F$5:$F$104)</f>
        <v>0</v>
      </c>
    </row>
    <row r="34" customFormat="false" ht="13.8" hidden="false" customHeight="false" outlineLevel="0" collapsed="false">
      <c r="A34" s="5" t="n">
        <f aca="false">Policías!A33</f>
        <v>129</v>
      </c>
      <c r="B34" s="6" t="str">
        <f aca="false">Policías!B33</f>
        <v>Francisco </v>
      </c>
      <c r="C34" s="30" t="n">
        <f aca="false">SUMIF(Historico_Extras!$C$5:$C$104,A34,Historico_Extras!$F$5:$F$104)</f>
        <v>0</v>
      </c>
    </row>
    <row r="35" customFormat="false" ht="13.8" hidden="false" customHeight="false" outlineLevel="0" collapsed="false">
      <c r="A35" s="5" t="n">
        <f aca="false">Policías!A34</f>
        <v>130</v>
      </c>
      <c r="B35" s="6" t="str">
        <f aca="false">Policías!B34</f>
        <v>Antonio </v>
      </c>
      <c r="C35" s="30" t="n">
        <f aca="false">SUMIF(Historico_Extras!$C$5:$C$104,A35,Historico_Extras!$F$5:$F$104)</f>
        <v>0</v>
      </c>
    </row>
    <row r="36" customFormat="false" ht="13.8" hidden="false" customHeight="false" outlineLevel="0" collapsed="false">
      <c r="A36" s="5" t="n">
        <f aca="false">Policías!A35</f>
        <v>131</v>
      </c>
      <c r="B36" s="6" t="str">
        <f aca="false">Policías!B35</f>
        <v>Manuel Joaquín </v>
      </c>
      <c r="C36" s="30" t="n">
        <f aca="false">SUMIF(Historico_Extras!$C$5:$C$104,A36,Historico_Extras!$F$5:$F$104)</f>
        <v>0</v>
      </c>
    </row>
    <row r="37" customFormat="false" ht="13.8" hidden="false" customHeight="false" outlineLevel="0" collapsed="false">
      <c r="A37" s="5" t="n">
        <f aca="false">Policías!A36</f>
        <v>132</v>
      </c>
      <c r="B37" s="6" t="str">
        <f aca="false">Policías!B36</f>
        <v>Juan Antonio </v>
      </c>
      <c r="C37" s="30" t="n">
        <f aca="false">SUMIF(Historico_Extras!$C$5:$C$104,A37,Historico_Extras!$F$5:$F$104)</f>
        <v>0</v>
      </c>
    </row>
    <row r="38" customFormat="false" ht="13.8" hidden="false" customHeight="false" outlineLevel="0" collapsed="false">
      <c r="A38" s="5" t="n">
        <f aca="false">Policías!A37</f>
        <v>133</v>
      </c>
      <c r="B38" s="6" t="str">
        <f aca="false">Policías!B37</f>
        <v>Jose Manuel</v>
      </c>
      <c r="C38" s="30" t="n">
        <f aca="false">SUMIF(Historico_Extras!$C$5:$C$104,A38,Historico_Extras!$F$5:$F$104)</f>
        <v>0</v>
      </c>
    </row>
    <row r="39" customFormat="false" ht="13.8" hidden="false" customHeight="false" outlineLevel="0" collapsed="false">
      <c r="A39" s="5" t="n">
        <f aca="false">Policías!A38</f>
        <v>134</v>
      </c>
      <c r="B39" s="6" t="str">
        <f aca="false">Policías!B38</f>
        <v>José Antonio </v>
      </c>
      <c r="C39" s="30" t="n">
        <f aca="false">SUMIF(Historico_Extras!$C$5:$C$104,A39,Historico_Extras!$F$5:$F$104)</f>
        <v>0</v>
      </c>
    </row>
    <row r="40" customFormat="false" ht="13.8" hidden="false" customHeight="false" outlineLevel="0" collapsed="false">
      <c r="A40" s="5" t="n">
        <f aca="false">Policías!A39</f>
        <v>135</v>
      </c>
      <c r="B40" s="6" t="str">
        <f aca="false">Policías!B39</f>
        <v>Yolanda</v>
      </c>
      <c r="C40" s="30" t="n">
        <f aca="false">SUMIF(Historico_Extras!$C$5:$C$104,A40,Historico_Extras!$F$5:$F$104)</f>
        <v>0</v>
      </c>
    </row>
    <row r="41" customFormat="false" ht="13.8" hidden="false" customHeight="false" outlineLevel="0" collapsed="false">
      <c r="A41" s="5" t="n">
        <f aca="false">Policías!A40</f>
        <v>136</v>
      </c>
      <c r="B41" s="6" t="str">
        <f aca="false">Policías!B40</f>
        <v>Narciso </v>
      </c>
      <c r="C41" s="30" t="n">
        <f aca="false">SUMIF(Historico_Extras!$C$5:$C$104,A41,Historico_Extras!$F$5:$F$104)</f>
        <v>0</v>
      </c>
    </row>
    <row r="42" customFormat="false" ht="13.8" hidden="false" customHeight="false" outlineLevel="0" collapsed="false">
      <c r="A42" s="5" t="n">
        <f aca="false">Policías!A41</f>
        <v>137</v>
      </c>
      <c r="B42" s="6" t="str">
        <f aca="false">Policías!B41</f>
        <v>José Díaz </v>
      </c>
      <c r="C42" s="30" t="n">
        <f aca="false">SUMIF(Historico_Extras!$C$5:$C$104,A42,Historico_Extras!$F$5:$F$104)</f>
        <v>0</v>
      </c>
    </row>
    <row r="43" customFormat="false" ht="13.8" hidden="false" customHeight="false" outlineLevel="0" collapsed="false">
      <c r="A43" s="5" t="n">
        <f aca="false">Policías!A42</f>
        <v>138</v>
      </c>
      <c r="B43" s="6" t="str">
        <f aca="false">Policías!B42</f>
        <v>Fernando </v>
      </c>
      <c r="C43" s="30" t="n">
        <f aca="false">SUMIF(Historico_Extras!$C$5:$C$104,A43,Historico_Extras!$F$5:$F$104)</f>
        <v>0</v>
      </c>
    </row>
    <row r="44" customFormat="false" ht="13.8" hidden="false" customHeight="false" outlineLevel="0" collapsed="false">
      <c r="A44" s="5" t="n">
        <f aca="false">Policías!A43</f>
        <v>139</v>
      </c>
      <c r="B44" s="6" t="str">
        <f aca="false">Policías!B43</f>
        <v>Juan </v>
      </c>
      <c r="C44" s="30" t="n">
        <f aca="false">SUMIF(Historico_Extras!$C$5:$C$104,A44,Historico_Extras!$F$5:$F$104)</f>
        <v>0</v>
      </c>
    </row>
    <row r="45" customFormat="false" ht="13.8" hidden="false" customHeight="false" outlineLevel="0" collapsed="false">
      <c r="A45" s="5" t="n">
        <f aca="false">Policías!A44</f>
        <v>140</v>
      </c>
      <c r="B45" s="6" t="str">
        <f aca="false">Policías!B44</f>
        <v>Gonzalez </v>
      </c>
      <c r="C45" s="30" t="n">
        <f aca="false">SUMIF(Historico_Extras!$C$5:$C$104,A45,Historico_Extras!$F$5:$F$104)</f>
        <v>0</v>
      </c>
    </row>
    <row r="46" customFormat="false" ht="13.8" hidden="false" customHeight="false" outlineLevel="0" collapsed="false">
      <c r="A46" s="5" t="n">
        <f aca="false">Policías!A45</f>
        <v>141</v>
      </c>
      <c r="B46" s="6" t="str">
        <f aca="false">Policías!B45</f>
        <v>Diego José</v>
      </c>
      <c r="C46" s="30" t="n">
        <f aca="false">SUMIF(Historico_Extras!$C$5:$C$104,A46,Historico_Extras!$F$5:$F$104)</f>
        <v>0</v>
      </c>
    </row>
    <row r="47" customFormat="false" ht="13.8" hidden="false" customHeight="false" outlineLevel="0" collapsed="false">
      <c r="A47" s="5" t="n">
        <f aca="false">Policías!A46</f>
        <v>142</v>
      </c>
      <c r="B47" s="6" t="str">
        <f aca="false">Policías!B46</f>
        <v>Morales</v>
      </c>
      <c r="C47" s="30" t="n">
        <f aca="false">SUMIF(Historico_Extras!$C$5:$C$104,A47,Historico_Extras!$F$5:$F$104)</f>
        <v>0</v>
      </c>
    </row>
    <row r="48" customFormat="false" ht="13.8" hidden="false" customHeight="false" outlineLevel="0" collapsed="false">
      <c r="A48" s="5" t="n">
        <f aca="false">Policías!A47</f>
        <v>143</v>
      </c>
      <c r="B48" s="6" t="str">
        <f aca="false">Policías!B47</f>
        <v>Rafael</v>
      </c>
      <c r="C48" s="30" t="n">
        <f aca="false">SUMIF(Historico_Extras!$C$5:$C$104,A48,Historico_Extras!$F$5:$F$104)</f>
        <v>0</v>
      </c>
    </row>
    <row r="49" customFormat="false" ht="13.8" hidden="false" customHeight="false" outlineLevel="0" collapsed="false">
      <c r="A49" s="5" t="n">
        <f aca="false">Policías!A48</f>
        <v>144</v>
      </c>
      <c r="B49" s="6" t="str">
        <f aca="false">Policías!B48</f>
        <v>Moisés </v>
      </c>
      <c r="C49" s="30" t="n">
        <f aca="false">SUMIF(Historico_Extras!$C$5:$C$104,A49,Historico_Extras!$F$5:$F$104)</f>
        <v>0</v>
      </c>
    </row>
    <row r="50" customFormat="false" ht="13.8" hidden="false" customHeight="false" outlineLevel="0" collapsed="false">
      <c r="A50" s="5" t="n">
        <f aca="false">Policías!A49</f>
        <v>145</v>
      </c>
      <c r="B50" s="6" t="str">
        <f aca="false">Policías!B49</f>
        <v>Delgado</v>
      </c>
      <c r="C50" s="30" t="n">
        <f aca="false">SUMIF(Historico_Extras!$C$5:$C$104,A50,Historico_Extras!$F$5:$F$104)</f>
        <v>0</v>
      </c>
    </row>
    <row r="51" customFormat="false" ht="13.8" hidden="false" customHeight="false" outlineLevel="0" collapsed="false">
      <c r="A51" s="5" t="n">
        <f aca="false">Policías!A50</f>
        <v>146</v>
      </c>
      <c r="B51" s="6" t="str">
        <f aca="false">Policías!B50</f>
        <v>Juan Pedro</v>
      </c>
      <c r="C51" s="30" t="n">
        <f aca="false">SUMIF(Historico_Extras!$C$5:$C$104,A51,Historico_Extras!$F$5:$F$104)</f>
        <v>0</v>
      </c>
    </row>
    <row r="52" customFormat="false" ht="13.8" hidden="false" customHeight="false" outlineLevel="0" collapsed="false">
      <c r="A52" s="5" t="n">
        <f aca="false">Policías!A51</f>
        <v>147</v>
      </c>
      <c r="B52" s="6" t="str">
        <f aca="false">Policías!B51</f>
        <v>Jose Manuel</v>
      </c>
      <c r="C52" s="30" t="n">
        <f aca="false">SUMIF(Historico_Extras!$C$5:$C$104,A52,Historico_Extras!$F$5:$F$104)</f>
        <v>0</v>
      </c>
    </row>
    <row r="53" customFormat="false" ht="13.8" hidden="false" customHeight="false" outlineLevel="0" collapsed="false">
      <c r="A53" s="5" t="n">
        <f aca="false">Policías!A52</f>
        <v>148</v>
      </c>
      <c r="B53" s="6" t="str">
        <f aca="false">Policías!B52</f>
        <v>Rocío </v>
      </c>
      <c r="C53" s="30" t="n">
        <f aca="false">SUMIF(Historico_Extras!$C$5:$C$104,A53,Historico_Extras!$F$5:$F$104)</f>
        <v>0</v>
      </c>
    </row>
    <row r="54" customFormat="false" ht="13.8" hidden="false" customHeight="false" outlineLevel="0" collapsed="false">
      <c r="A54" s="5" t="n">
        <f aca="false">Policías!A53</f>
        <v>149</v>
      </c>
      <c r="B54" s="6" t="str">
        <f aca="false">Policías!B53</f>
        <v>Pablo </v>
      </c>
      <c r="C54" s="30" t="n">
        <f aca="false">SUMIF(Historico_Extras!$C$5:$C$104,A54,Historico_Extras!$F$5:$F$104)</f>
        <v>0</v>
      </c>
    </row>
    <row r="55" customFormat="false" ht="13.8" hidden="false" customHeight="false" outlineLevel="0" collapsed="false">
      <c r="A55" s="5" t="n">
        <f aca="false">Policías!A54</f>
        <v>150</v>
      </c>
      <c r="B55" s="6" t="str">
        <f aca="false">Policías!B54</f>
        <v>Eduardo</v>
      </c>
      <c r="C55" s="30" t="n">
        <f aca="false">SUMIF(Historico_Extras!$C$5:$C$104,A55,Historico_Extras!$F$5:$F$104)</f>
        <v>0</v>
      </c>
    </row>
    <row r="56" customFormat="false" ht="13.8" hidden="false" customHeight="false" outlineLevel="0" collapsed="false">
      <c r="A56" s="5" t="n">
        <f aca="false">Policías!A55</f>
        <v>151</v>
      </c>
      <c r="B56" s="6" t="str">
        <f aca="false">Policías!B55</f>
        <v> Flores</v>
      </c>
      <c r="C56" s="30" t="n">
        <f aca="false">SUMIF(Historico_Extras!$C$5:$C$104,A56,Historico_Extras!$F$5:$F$104)</f>
        <v>0</v>
      </c>
    </row>
    <row r="57" customFormat="false" ht="13.8" hidden="false" customHeight="false" outlineLevel="0" collapsed="false">
      <c r="A57" s="5" t="n">
        <f aca="false">Policías!A56</f>
        <v>152</v>
      </c>
      <c r="B57" s="6" t="str">
        <f aca="false">Policías!B56</f>
        <v>Borja </v>
      </c>
      <c r="C57" s="30" t="n">
        <f aca="false">SUMIF(Historico_Extras!$C$5:$C$104,A57,Historico_Extras!$F$5:$F$104)</f>
        <v>0</v>
      </c>
    </row>
    <row r="58" customFormat="false" ht="13.8" hidden="false" customHeight="false" outlineLevel="0" collapsed="false">
      <c r="A58" s="5" t="n">
        <f aca="false">Policías!A57</f>
        <v>153</v>
      </c>
      <c r="B58" s="6" t="str">
        <f aca="false">Policías!B57</f>
        <v>Rocío Romero</v>
      </c>
      <c r="C58" s="30" t="n">
        <f aca="false">SUMIF(Historico_Extras!$C$5:$C$104,A58,Historico_Extras!$F$5:$F$104)</f>
        <v>0</v>
      </c>
    </row>
    <row r="59" customFormat="false" ht="13.8" hidden="false" customHeight="false" outlineLevel="0" collapsed="false">
      <c r="A59" s="5" t="n">
        <f aca="false">Policías!A58</f>
        <v>154</v>
      </c>
      <c r="B59" s="6" t="str">
        <f aca="false">Policías!B58</f>
        <v>Romero Cejudo</v>
      </c>
      <c r="C59" s="30" t="n">
        <f aca="false">SUMIF(Historico_Extras!$C$5:$C$104,A59,Historico_Extras!$F$5:$F$104)</f>
        <v>0</v>
      </c>
    </row>
  </sheetData>
  <mergeCells count="1">
    <mergeCell ref="A4:C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2026-08-13T06:59:49Z</dcterms:created>
  <dc:creator>openpyxl</dc:creator>
  <dc:description/>
  <dc:language>es-ES</dc:language>
  <cp:lastModifiedBy/>
  <dcterms:modified xsi:type="dcterms:W3CDTF">2026-08-31T14:05:36Z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